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eb1d682c4c47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4d5b0591aae4a53"/>
    <x:sheet xmlns:r="http://schemas.openxmlformats.org/officeDocument/2006/relationships" name="Inputs" sheetId="2" r:id="Rfb0c708bf6304ae3"/>
    <x:sheet xmlns:r="http://schemas.openxmlformats.org/officeDocument/2006/relationships" name="Unit economics" sheetId="3" r:id="R149968a12feb4fae"/>
    <x:sheet xmlns:r="http://schemas.openxmlformats.org/officeDocument/2006/relationships" name="Cash flow" sheetId="4" r:id="Rc02ab0f21e1840c1"/>
    <x:sheet xmlns:r="http://schemas.openxmlformats.org/officeDocument/2006/relationships" name="Sensitivity" sheetId="5" r:id="Rf6b2f312121447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;(#,##0.00);&quot;-&quot;"/>
    <x:numFmt numFmtId="201" formatCode="#,##0;(#,##0);&quot;-&quot;"/>
    <x:numFmt numFmtId="202" formatCode="0.0%;(0.0%);&quot;-&quot;"/>
    <x:numFmt numFmtId="203" formatCode="mmm-yy"/>
    <x:numFmt numFmtId="204" formatCode="0.00"/>
  </x:numFmts>
  <x:fonts count="7">
    <x:font>
      <x:sz val="11"/>
      <x:name val="Carlito"/>
    </x:font>
    <x:font>
      <x:sz val="10"/>
      <x:color rgb="FF20252B"/>
      <x:name val="Arial"/>
    </x:font>
    <x:font>
      <x:b/>
      <x:sz val="15"/>
      <x:color rgb="FF243B53"/>
      <x:name val="Arial"/>
    </x:font>
    <x:font>
      <x:sz val="10"/>
      <x:color rgb="FF0000FF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00804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8DA"/>
      </x:patternFill>
    </x:fill>
    <x:fill>
      <x:patternFill patternType="solid">
        <x:fgColor rgb="FFE9EFF5"/>
      </x:patternFill>
    </x:fill>
    <x:fill>
      <x:patternFill patternType="solid">
        <x:fgColor rgb="FFDCE6EF"/>
      </x:patternFill>
    </x:fill>
  </x:fills>
  <x:borders count="1">
    <x:border/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3" fillId="3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2" fontId="3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A60000"/>
      </x:font>
      <x:fill>
        <x:patternFill patternType="solid">
          <x:bgColor rgb="FFFDE8E8"/>
        </x:patternFill>
      </x:fill>
    </x:dxf>
    <x:dxf>
      <x:font>
        <x:b/>
        <x:color rgb="FFA60000"/>
      </x:font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a6744f25df457c" /><Relationship Type="http://schemas.openxmlformats.org/officeDocument/2006/relationships/theme" Target="/xl/theme/theme1.xml" Id="R1ed1c5fc12714e79" /><Relationship Type="http://schemas.openxmlformats.org/officeDocument/2006/relationships/sharedStrings" Target="/xl/sharedStrings.xml" Id="Ra057510466934f88" /><Relationship Type="http://schemas.openxmlformats.org/officeDocument/2006/relationships/worksheet" Target="/xl/worksheets/sheet1.xml" Id="R24d5b0591aae4a53" /><Relationship Type="http://schemas.openxmlformats.org/officeDocument/2006/relationships/worksheet" Target="/xl/worksheets/sheet2.xml" Id="Rfb0c708bf6304ae3" /><Relationship Type="http://schemas.openxmlformats.org/officeDocument/2006/relationships/worksheet" Target="/xl/worksheets/sheet3.xml" Id="R149968a12feb4fae" /><Relationship Type="http://schemas.openxmlformats.org/officeDocument/2006/relationships/worksheet" Target="/xl/worksheets/sheet4.xml" Id="Rc02ab0f21e1840c1" /><Relationship Type="http://schemas.openxmlformats.org/officeDocument/2006/relationships/worksheet" Target="/xl/worksheets/sheet5.xml" Id="Rf6b2f312121447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57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22" customHeight="1">
      <x:c r="A2" s="2"/>
      <x:c r="B2" s="2"/>
      <x:c r="C2" s="3" t="str">
        <x:v>Commercial comparison to December 31, 2026</x:v>
      </x:c>
      <x:c r="D2" s="2"/>
      <x:c r="E2" s="2"/>
      <x:c r="F2" s="2"/>
      <x:c r="G2" s="2"/>
      <x:c r="H2" s="2"/>
    </x:row>
    <x:row r="3" ht="22" customHeight="1">
      <x:c r="A3" s="2"/>
      <x:c r="B3" s="2"/>
      <x:c r="C3" s="2"/>
      <x:c r="D3" s="2"/>
      <x:c r="E3" s="2"/>
      <x:c r="F3" s="2"/>
      <x:c r="G3" s="2"/>
      <x:c r="H3" s="2"/>
    </x:row>
    <x:row r="4" ht="22" customHeight="1">
      <x:c r="A4" s="2"/>
      <x:c r="B4" s="2"/>
      <x:c r="C4" s="2" t="str">
        <x:v>Case selected</x:v>
      </x:c>
      <x:c r="D4" s="18" t="str">
        <x:f>CHOOSE('Inputs'!$D$4,"Native base","Native early","Zero sales","Pilot")</x:f>
        <x:v>Native base</x:v>
      </x:c>
      <x:c r="E4" s="2"/>
      <x:c r="F4" s="2"/>
      <x:c r="G4" s="2"/>
      <x:c r="H4" s="2"/>
    </x:row>
    <x:row r="5" ht="22" customHeight="1">
      <x:c r="A5" s="2"/>
      <x:c r="B5" s="2"/>
      <x:c r="C5" s="2"/>
      <x:c r="D5" s="2"/>
      <x:c r="E5" s="2"/>
      <x:c r="F5" s="2"/>
      <x:c r="G5" s="2"/>
      <x:c r="H5" s="2"/>
    </x:row>
    <x:row r="6" ht="22" customHeight="1">
      <x:c r="A6" s="2"/>
      <x:c r="B6" s="2"/>
      <x:c r="C6" s="2"/>
      <x:c r="D6" s="2"/>
      <x:c r="E6" s="2"/>
      <x:c r="F6" s="2"/>
      <x:c r="G6" s="2"/>
      <x:c r="H6" s="2"/>
    </x:row>
    <x:row r="7" ht="27" customHeight="1">
      <x:c r="A7" s="2"/>
      <x:c r="B7" s="2"/>
      <x:c r="C7" s="9" t="str">
        <x:v>USD unless buyers</x:v>
      </x:c>
      <x:c r="D7" s="9" t="str">
        <x:v>Work return C2</x:v>
      </x:c>
      <x:c r="E7" s="9" t="str">
        <x:v>Active trip C3</x:v>
      </x:c>
      <x:c r="F7" s="2"/>
      <x:c r="G7" s="2"/>
      <x:c r="H7" s="2"/>
    </x:row>
    <x:row r="8" ht="22" customHeight="1">
      <x:c r="A8" s="2"/>
      <x:c r="B8" s="2"/>
      <x:c r="C8" s="2" t="str">
        <x:v>Price per outcome pass</x:v>
      </x:c>
      <x:c r="D8" s="4" t="n">
        <x:f>'Unit economics'!D8</x:f>
        <x:v>149</x:v>
      </x:c>
      <x:c r="E8" s="4" t="n">
        <x:f>'Unit economics'!E8</x:f>
        <x:v>199</x:v>
      </x:c>
      <x:c r="F8" s="4"/>
      <x:c r="G8" s="4"/>
      <x:c r="H8" s="4"/>
    </x:row>
    <x:row r="9" ht="22" customHeight="1">
      <x:c r="A9" s="2"/>
      <x:c r="B9" s="2"/>
      <x:c r="C9" s="13" t="str">
        <x:v>Full contribution after acquisition per buyer</x:v>
      </x:c>
      <x:c r="D9" s="14" t="n">
        <x:f>'Unit economics'!D22</x:f>
        <x:v>40.518</x:v>
      </x:c>
      <x:c r="E9" s="14" t="n">
        <x:f>'Unit economics'!E22</x:f>
        <x:v>27.617999999999995</x:v>
      </x:c>
      <x:c r="F9" s="4"/>
      <x:c r="G9" s="4"/>
      <x:c r="H9" s="4"/>
    </x:row>
    <x:row r="10" ht="22" customHeight="1">
      <x:c r="A10" s="2"/>
      <x:c r="B10" s="2"/>
      <x:c r="C10" s="2" t="str">
        <x:v>October–December gross buyers</x:v>
      </x:c>
      <x:c r="D10" s="26" t="n">
        <x:f>SUM('Cash flow'!D10:F10)</x:f>
        <x:v>120</x:v>
      </x:c>
      <x:c r="E10" s="26" t="n">
        <x:f>SUM('Cash flow'!D40:F40)</x:f>
        <x:v>120</x:v>
      </x:c>
      <x:c r="F10" s="4"/>
      <x:c r="G10" s="4"/>
      <x:c r="H10" s="4"/>
    </x:row>
    <x:row r="11" ht="22" customHeight="1">
      <x:c r="A11" s="2"/>
      <x:c r="B11" s="2"/>
      <x:c r="C11" s="2"/>
      <x:c r="D11" s="4"/>
      <x:c r="E11" s="4"/>
      <x:c r="F11" s="4"/>
      <x:c r="G11" s="4"/>
      <x:c r="H11" s="4"/>
    </x:row>
    <x:row r="12" ht="22" customHeight="1">
      <x:c r="A12" s="2"/>
      <x:c r="B12" s="2"/>
      <x:c r="C12" s="2" t="str">
        <x:v>December earned operating result before draw</x:v>
      </x:c>
      <x:c r="D12" s="4" t="n">
        <x:f>'Cash flow'!F18</x:f>
        <x:v>2241.4400000000005</x:v>
      </x:c>
      <x:c r="E12" s="4" t="n">
        <x:f>'Cash flow'!F48</x:f>
        <x:v>-1522.92</x:v>
      </x:c>
      <x:c r="F12" s="4"/>
      <x:c r="G12" s="4"/>
      <x:c r="H12" s="4"/>
    </x:row>
    <x:row r="13" ht="22" customHeight="1">
      <x:c r="A13" s="2"/>
      <x:c r="B13" s="2"/>
      <x:c r="C13" s="13" t="str">
        <x:v>December earned result after founder coverage</x:v>
      </x:c>
      <x:c r="D13" s="14" t="n">
        <x:f>'Cash flow'!F20</x:f>
        <x:v>-758.5599999999995</x:v>
      </x:c>
      <x:c r="E13" s="14" t="n">
        <x:f>'Cash flow'!F50</x:f>
        <x:v>-4522.92</x:v>
      </x:c>
      <x:c r="F13" s="4"/>
      <x:c r="G13" s="4"/>
      <x:c r="H13" s="4"/>
    </x:row>
    <x:row r="14" ht="22" customHeight="1">
      <x:c r="A14" s="2"/>
      <x:c r="B14" s="2"/>
      <x:c r="C14" s="2"/>
      <x:c r="D14" s="4"/>
      <x:c r="E14" s="4"/>
      <x:c r="F14" s="4"/>
      <x:c r="G14" s="4"/>
      <x:c r="H14" s="4"/>
    </x:row>
    <x:row r="15" ht="22" customHeight="1">
      <x:c r="A15" s="2"/>
      <x:c r="B15" s="2"/>
      <x:c r="C15" s="2" t="str">
        <x:v>Cash received by December 31</x:v>
      </x:c>
      <x:c r="D15" s="4" t="n">
        <x:f>SUM('Cash flow'!D13:F13)</x:f>
        <x:v>0</x:v>
      </x:c>
      <x:c r="E15" s="4" t="n">
        <x:f>SUM('Cash flow'!D43:F43)</x:f>
        <x:v>0</x:v>
      </x:c>
      <x:c r="F15" s="4"/>
      <x:c r="G15" s="4"/>
      <x:c r="H15" s="4"/>
    </x:row>
    <x:row r="16" ht="22" customHeight="1">
      <x:c r="A16" s="2"/>
      <x:c r="B16" s="2"/>
      <x:c r="C16" s="2" t="str">
        <x:v>Cumulative cash incl startup and draw</x:v>
      </x:c>
      <x:c r="D16" s="4" t="n">
        <x:f>'Cash flow'!F24</x:f>
        <x:v>-29120</x:v>
      </x:c>
      <x:c r="E16" s="4" t="n">
        <x:f>'Cash flow'!F54</x:f>
        <x:v>-39100</x:v>
      </x:c>
      <x:c r="F16" s="4"/>
      <x:c r="G16" s="4"/>
      <x:c r="H16" s="4"/>
    </x:row>
    <x:row r="17" ht="22" customHeight="1">
      <x:c r="A17" s="2"/>
      <x:c r="B17" s="2"/>
      <x:c r="C17" s="2" t="str">
        <x:v>Delivery cost still to pay</x:v>
      </x:c>
      <x:c r="D17" s="4" t="n">
        <x:f>'Cash flow'!F28</x:f>
        <x:v>0</x:v>
      </x:c>
      <x:c r="E17" s="4" t="n">
        <x:f>'Cash flow'!F58</x:f>
        <x:v>1760</x:v>
      </x:c>
      <x:c r="F17" s="4"/>
      <x:c r="G17" s="4"/>
      <x:c r="H17" s="4"/>
    </x:row>
    <x:row r="18" ht="22" customHeight="1">
      <x:c r="A18" s="2"/>
      <x:c r="B18" s="2"/>
      <x:c r="C18" s="13" t="str">
        <x:v>Cumulative cash after delivery reserve</x:v>
      </x:c>
      <x:c r="D18" s="14" t="n">
        <x:f>'Cash flow'!F29</x:f>
        <x:v>-29120</x:v>
      </x:c>
      <x:c r="E18" s="14" t="n">
        <x:f>'Cash flow'!F59</x:f>
        <x:v>-40860</x:v>
      </x:c>
      <x:c r="F18" s="4"/>
      <x:c r="G18" s="4"/>
      <x:c r="H18" s="4"/>
    </x:row>
    <x:row r="19" ht="22" customHeight="1">
      <x:c r="A19" s="2"/>
      <x:c r="B19" s="2"/>
      <x:c r="C19" s="2"/>
      <x:c r="D19" s="4"/>
      <x:c r="E19" s="4"/>
      <x:c r="F19" s="4"/>
      <x:c r="G19" s="4"/>
      <x:c r="H19" s="4"/>
    </x:row>
    <x:row r="20" ht="22" customHeight="1">
      <x:c r="A20" s="2"/>
      <x:c r="B20" s="2"/>
      <x:c r="C20" s="2" t="str">
        <x:v>Payment receivable at December 31</x:v>
      </x:c>
      <x:c r="D20" s="4" t="n">
        <x:f>'Cash flow'!F26</x:f>
        <x:v>13982.16</x:v>
      </x:c>
      <x:c r="E20" s="4" t="n">
        <x:f>'Cash flow'!F56</x:f>
        <x:v>18674.159999999996</x:v>
      </x:c>
      <x:c r="F20" s="4"/>
      <x:c r="G20" s="4"/>
      <x:c r="H20" s="4"/>
    </x:row>
    <x:row r="21" ht="22" customHeight="1">
      <x:c r="A21" s="2"/>
      <x:c r="B21" s="2"/>
      <x:c r="C21" s="2" t="str">
        <x:v>Unserved service value at December 31</x:v>
      </x:c>
      <x:c r="D21" s="4" t="n">
        <x:f>'Cash flow'!F27</x:f>
        <x:v>0</x:v>
      </x:c>
      <x:c r="E21" s="4" t="n">
        <x:f>'Cash flow'!F57</x:f>
        <x:v>6224.719999999999</x:v>
      </x:c>
      <x:c r="F21" s="4"/>
      <x:c r="G21" s="4"/>
      <x:c r="H21" s="4"/>
    </x:row>
    <x:row r="22" ht="22" customHeight="1">
      <x:c r="A22" s="2"/>
      <x:c r="B22" s="2"/>
      <x:c r="C22" s="2"/>
      <x:c r="D22" s="4"/>
      <x:c r="E22" s="4"/>
      <x:c r="F22" s="4"/>
      <x:c r="G22" s="4"/>
      <x:c r="H22" s="4"/>
    </x:row>
    <x:row r="23" ht="22" customHeight="1">
      <x:c r="A23" s="2"/>
      <x:c r="B23" s="2"/>
      <x:c r="C23" s="13" t="str">
        <x:v>Fully settled buyers covering Q4/startup/draw</x:v>
      </x:c>
      <x:c r="D23" s="16" t="n">
        <x:f>'Unit economics'!D30</x:f>
        <x:v>494</x:v>
      </x:c>
      <x:c r="E23" s="16" t="n">
        <x:f>'Unit economics'!E30</x:f>
        <x:v>924</x:v>
      </x:c>
      <x:c r="F23" s="4"/>
      <x:c r="G23" s="4"/>
      <x:c r="H23" s="4"/>
    </x:row>
    <x:row r="24" ht="22" customHeight="1">
      <x:c r="A24" s="2"/>
      <x:c r="B24" s="2"/>
      <x:c r="C24" s="2" t="str">
        <x:v>Max CAC at active volume and collection deadline</x:v>
      </x:c>
      <x:c r="D24" s="4" t="n">
        <x:f>IF(D10=0,"n.a.",(D18+SUM('Cash flow'!D16:F16))/D10)</x:f>
        <x:v>-212.66666666666666</x:v>
      </x:c>
      <x:c r="E24" s="4" t="n">
        <x:f>IF(E10=0,"n.a.",(E18+SUM('Cash flow'!D46:F46))/E10)</x:f>
        <x:v>-300.5</x:v>
      </x:c>
      <x:c r="F24" s="4"/>
      <x:c r="G24" s="4"/>
      <x:c r="H24" s="4"/>
    </x:row>
    <x:row r="25" ht="22" customHeight="1">
      <x:c r="A25" s="2"/>
      <x:c r="B25" s="2"/>
      <x:c r="C25" s="2"/>
      <x:c r="D25" s="4"/>
      <x:c r="E25" s="4"/>
      <x:c r="F25" s="4"/>
      <x:c r="G25" s="4"/>
      <x:c r="H25" s="4"/>
    </x:row>
    <x:row r="26" ht="22" customHeight="1">
      <x:c r="A26" s="2"/>
      <x:c r="B26" s="2"/>
      <x:c r="C26" s="2"/>
      <x:c r="D26" s="4"/>
      <x:c r="E26" s="4"/>
      <x:c r="F26" s="4"/>
      <x:c r="G26" s="4"/>
      <x:c r="H26" s="4"/>
    </x:row>
    <x:row r="27" ht="22" customHeight="1">
      <x:c r="A27" s="2"/>
      <x:c r="B27" s="2"/>
      <x:c r="C27" s="2" t="str">
        <x:v>Separate pilot contribution per buyer</x:v>
      </x:c>
      <x:c r="D27" s="4" t="n">
        <x:f>'Inputs'!D12*(1-'Inputs'!D16)-'Inputs'!D12*'Inputs'!D18-'Inputs'!D19-('Inputs'!D29/60*'Inputs'!D30+'Inputs'!D33/60*'Inputs'!D34+'Inputs'!D35+'Inputs'!D36+'Inputs'!D37)-'Inputs'!D40</x:f>
        <x:v>33.509000000000015</x:v>
      </x:c>
      <x:c r="E27" s="4" t="n">
        <x:f>'Inputs'!E12*(1-'Inputs'!E16)-'Inputs'!E12*'Inputs'!E18-'Inputs'!E19-('Inputs'!E29/60*'Inputs'!E30+'Inputs'!E33/60*'Inputs'!E34+'Inputs'!E35+'Inputs'!E36+'Inputs'!E37)-'Inputs'!E40</x:f>
        <x:v>33.10899999999998</x:v>
      </x:c>
      <x:c r="F27" s="4"/>
      <x:c r="G27" s="4"/>
      <x:c r="H27" s="4"/>
    </x:row>
    <x:row r="28" ht="22" customHeight="1">
      <x:c r="A28" s="2"/>
      <x:c r="B28" s="2"/>
      <x:c r="C28" s="13" t="str">
        <x:v>Pilot contribution for ten buyers before overhead</x:v>
      </x:c>
      <x:c r="D28" s="14" t="n">
        <x:f>D27*10</x:f>
        <x:v>335.09000000000015</x:v>
      </x:c>
      <x:c r="E28" s="14" t="n">
        <x:f>E27*10</x:f>
        <x:v>331.0899999999998</x:v>
      </x:c>
      <x:c r="F28" s="4"/>
      <x:c r="G28" s="4"/>
      <x:c r="H28" s="4"/>
    </x:row>
    <x:row r="29" ht="22" customHeight="1">
      <x:c r="A29" s="2"/>
      <x:c r="B29" s="2"/>
      <x:c r="C29" s="2"/>
      <x:c r="D29" s="4"/>
      <x:c r="E29" s="4"/>
      <x:c r="F29" s="4"/>
      <x:c r="G29" s="4"/>
      <x:c r="H29" s="4"/>
    </x:row>
    <x:row r="30" ht="22" customHeight="1">
      <x:c r="A30" s="2"/>
      <x:c r="B30" s="2"/>
      <x:c r="C30" s="2"/>
      <x:c r="D30" s="4"/>
      <x:c r="E30" s="4"/>
      <x:c r="F30" s="4"/>
      <x:c r="G30" s="4"/>
      <x:c r="H30" s="4"/>
    </x:row>
    <x:row r="31" ht="22" customHeight="1">
      <x:c r="A31" s="2"/>
      <x:c r="B31" s="2"/>
      <x:c r="C31" s="6" t="str">
        <x:v>All demand, prices and operating budgets are assumptions. Base 0/40/80 buyers is not a forecast.</x:v>
      </x:c>
      <x:c r="D31" s="4"/>
      <x:c r="E31" s="4"/>
      <x:c r="F31" s="4"/>
      <x:c r="G31" s="4"/>
      <x:c r="H31" s="4"/>
    </x:row>
    <x:row r="32" ht="22" customHeight="1">
      <x:c r="A32" s="2"/>
      <x:c r="B32" s="2"/>
      <x:c r="C32" s="6" t="str">
        <x:v>Negative cumulative cash is the funding needed from zero initial cash, not an existing bank balance.</x:v>
      </x:c>
      <x:c r="D32" s="4"/>
      <x:c r="E32" s="4"/>
      <x:c r="F32" s="4"/>
      <x:c r="G32" s="4"/>
      <x:c r="H32" s="4"/>
    </x:row>
    <x:row r="33" ht="22" customHeight="1">
      <x:c r="A33" s="2"/>
      <x:c r="B33" s="2"/>
      <x:c r="C33" s="6" t="str">
        <x:v>Cash positivity requires actual collections, full delivery reserve, startup, fixed costs and founder coverage.</x:v>
      </x:c>
      <x:c r="D33" s="4"/>
      <x:c r="E33" s="4"/>
      <x:c r="F33" s="4"/>
      <x:c r="G33" s="4"/>
      <x:c r="H33" s="4"/>
    </x:row>
    <x:row r="34" ht="22" customHeight="1">
      <x:c r="A34" s="2"/>
      <x:c r="B34" s="2"/>
      <x:c r="C34" s="6" t="str">
        <x:v>Apple lag 2 is conservative calendar timing. Eligibility, fiscal closing dates and bank timing must be checked.</x:v>
      </x:c>
      <x:c r="D34" s="4"/>
      <x:c r="E34" s="4"/>
      <x:c r="F34" s="4"/>
      <x:c r="G34" s="4"/>
      <x:c r="H34" s="4"/>
    </x:row>
    <x:row r="35" ht="22" customHeight="1">
      <x:c r="A35" s="2"/>
      <x:c r="B35" s="2"/>
      <x:c r="C35" s="6" t="str">
        <x:v>Pilot contribution excludes overhead here. Pilot cash case retains the full native cost envelope.</x:v>
      </x:c>
      <x:c r="D35" s="4"/>
      <x:c r="E35" s="4"/>
      <x:c r="F35" s="4"/>
      <x:c r="G35" s="4"/>
      <x:c r="H35" s="4"/>
    </x:row>
    <x:row r="36" ht="22" customHeight="1">
      <x:c r="A36" s="2"/>
      <x:c r="B36" s="2"/>
      <x:c r="C36" s="6" t="str">
        <x:v>Founder development time is not fully paid in startup costs. No annual renewal or repeat is in Q4 cash.</x:v>
      </x:c>
      <x:c r="D36" s="4"/>
      <x:c r="E36" s="4"/>
      <x:c r="F36" s="4"/>
      <x:c r="G36" s="4"/>
      <x:c r="H36" s="4"/>
    </x:row>
    <x:row r="37" ht="22" customHeight="1">
      <x:c r="A37" s="2"/>
      <x:c r="B37" s="2"/>
      <x:c r="C37" s="2"/>
      <x:c r="D37" s="4"/>
      <x:c r="E37" s="4"/>
      <x:c r="F37" s="4"/>
      <x:c r="G37" s="4"/>
      <x:c r="H37" s="4"/>
    </x:row>
    <x:row r="38" ht="22" customHeight="1">
      <x:c r="A38" s="2"/>
      <x:c r="B38" s="2"/>
      <x:c r="C38" s="2"/>
      <x:c r="D38" s="4"/>
      <x:c r="E38" s="4"/>
      <x:c r="F38" s="4"/>
      <x:c r="G38" s="4"/>
      <x:c r="H38" s="4"/>
    </x:row>
    <x:row r="39" ht="22" customHeight="1">
      <x:c r="A39" s="2"/>
      <x:c r="B39" s="2"/>
      <x:c r="C39" s="2"/>
      <x:c r="D39" s="4"/>
      <x:c r="E39" s="4"/>
      <x:c r="F39" s="4"/>
      <x:c r="G39" s="4"/>
      <x:c r="H39" s="4"/>
    </x:row>
    <x:row r="40" ht="22" customHeight="1">
      <x:c r="A40" s="2"/>
      <x:c r="B40" s="2"/>
      <x:c r="C40" s="2"/>
      <x:c r="D40" s="4"/>
      <x:c r="E40" s="4"/>
      <x:c r="F40" s="4"/>
      <x:c r="G40" s="4"/>
      <x:c r="H40" s="4"/>
    </x:row>
    <x:row r="41" ht="22" customHeight="1">
      <x:c r="A41" s="2"/>
      <x:c r="B41" s="2"/>
      <x:c r="C41" s="2"/>
      <x:c r="D41" s="4"/>
      <x:c r="E41" s="4"/>
      <x:c r="F41" s="4"/>
      <x:c r="G41" s="4"/>
      <x:c r="H41" s="4"/>
    </x:row>
    <x:row r="42" ht="22" customHeight="1">
      <x:c r="A42" s="2"/>
      <x:c r="B42" s="2"/>
      <x:c r="C42" s="2"/>
      <x:c r="D42" s="4"/>
      <x:c r="E42" s="4"/>
      <x:c r="F42" s="4"/>
      <x:c r="G42" s="4"/>
      <x:c r="H42" s="4"/>
    </x:row>
    <x:row r="43" ht="22" customHeight="1">
      <x:c r="A43" s="2"/>
      <x:c r="B43" s="2"/>
      <x:c r="C43" s="2"/>
      <x:c r="D43" s="4"/>
      <x:c r="E43" s="4"/>
      <x:c r="F43" s="4"/>
      <x:c r="G43" s="4"/>
      <x:c r="H43" s="4"/>
    </x:row>
    <x:row r="44" ht="22" customHeight="1">
      <x:c r="A44" s="2"/>
      <x:c r="B44" s="2"/>
      <x:c r="C44" s="2"/>
      <x:c r="D44" s="4"/>
      <x:c r="E44" s="4"/>
      <x:c r="F44" s="4"/>
      <x:c r="G44" s="4"/>
      <x:c r="H44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27D98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57" hidden="0" customWidth="1"/>
    <x:col min="4" max="4" width="20" hidden="0" customWidth="1"/>
    <x:col min="5" max="5" width="20" hidden="0" customWidth="1"/>
    <x:col min="6" max="6" width="20" hidden="0" customWidth="1"/>
    <x:col min="7" max="7" width="130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</x:row>
    <x:row r="2" ht="22" customHeight="1">
      <x:c r="A2" s="2"/>
      <x:c r="B2" s="2"/>
      <x:c r="C2" s="3" t="str">
        <x:v>Commercial assumptions</x:v>
      </x:c>
      <x:c r="D2" s="2"/>
      <x:c r="E2" s="2"/>
      <x:c r="F2" s="2"/>
      <x:c r="G2" s="2"/>
    </x:row>
    <x:row r="3" ht="22" customHeight="1">
      <x:c r="A3" s="2"/>
      <x:c r="B3" s="2"/>
      <x:c r="C3" s="2"/>
      <x:c r="D3" s="2"/>
      <x:c r="E3" s="2"/>
      <x:c r="F3" s="2"/>
      <x:c r="G3" s="2"/>
    </x:row>
    <x:row r="4" ht="22" customHeight="1">
      <x:c r="A4" s="2"/>
      <x:c r="B4" s="2"/>
      <x:c r="C4" s="2" t="str">
        <x:v>Case selected</x:v>
      </x:c>
      <x:c r="D4" s="5" t="n">
        <x:v>1</x:v>
      </x:c>
      <x:c r="E4" s="2"/>
      <x:c r="F4" s="2"/>
      <x:c r="G4" s="2"/>
    </x:row>
    <x:row r="5" ht="22" customHeight="1">
      <x:c r="A5" s="2"/>
      <x:c r="B5" s="2"/>
      <x:c r="C5" s="6" t="str">
        <x:v>1 Native base. 2 Native early. 3 Zero sales. 4 Pilot. Blue cells are editable.</x:v>
      </x:c>
      <x:c r="D5" s="2"/>
      <x:c r="E5" s="2"/>
      <x:c r="F5" s="2"/>
      <x:c r="G5" s="2"/>
    </x:row>
    <x:row r="6" ht="22" customHeight="1">
      <x:c r="A6" s="2"/>
      <x:c r="B6" s="2"/>
      <x:c r="C6" s="2"/>
      <x:c r="D6" s="2"/>
      <x:c r="E6" s="2"/>
      <x:c r="F6" s="2"/>
      <x:c r="G6" s="2"/>
    </x:row>
    <x:row r="7" ht="22" customHeight="1">
      <x:c r="A7" s="2"/>
      <x:c r="B7" s="2"/>
      <x:c r="C7" s="2"/>
      <x:c r="D7" s="2"/>
      <x:c r="E7" s="2"/>
      <x:c r="F7" s="2"/>
      <x:c r="G7" s="2"/>
    </x:row>
    <x:row r="8" ht="27" customHeight="1">
      <x:c r="A8" s="2"/>
      <x:c r="B8" s="2"/>
      <x:c r="C8" s="9" t="str">
        <x:v>Driver</x:v>
      </x:c>
      <x:c r="D8" s="10" t="str">
        <x:v>Work return C2</x:v>
      </x:c>
      <x:c r="E8" s="10" t="str">
        <x:v>Active trip C3</x:v>
      </x:c>
      <x:c r="F8" s="4"/>
      <x:c r="G8" s="4"/>
    </x:row>
    <x:row r="9" ht="22" customHeight="1">
      <x:c r="A9" s="2"/>
      <x:c r="B9" s="2"/>
      <x:c r="C9" s="2"/>
      <x:c r="D9" s="4"/>
      <x:c r="E9" s="4"/>
      <x:c r="F9" s="4"/>
      <x:c r="G9" s="4"/>
    </x:row>
    <x:row r="10" ht="22" customHeight="1">
      <x:c r="A10" s="2"/>
      <x:c r="B10" s="2"/>
      <x:c r="C10" s="13" t="str">
        <x:v>Price USD — active</x:v>
      </x:c>
      <x:c r="D10" s="14" t="n">
        <x:f>IF($D$4=4,IF(COUNT(D12)=1,D12,"missing input"),IF(COUNT(D11)=1,D11,"missing input"))</x:f>
        <x:v>149</x:v>
      </x:c>
      <x:c r="E10" s="14" t="n">
        <x:f>IF($D$4=4,IF(COUNT(E12)=1,E12,"missing input"),IF(COUNT(E11)=1,E11,"missing input"))</x:f>
        <x:v>199</x:v>
      </x:c>
      <x:c r="F10" s="4"/>
      <x:c r="G10" s="4"/>
    </x:row>
    <x:row r="11" ht="22" customHeight="1">
      <x:c r="A11" s="2"/>
      <x:c r="B11" s="2"/>
      <x:c r="C11" s="2" t="str">
        <x:v>Price USD — native</x:v>
      </x:c>
      <x:c r="D11" s="12" t="n">
        <x:v>149</x:v>
      </x:c>
      <x:c r="E11" s="12" t="n">
        <x:v>199</x:v>
      </x:c>
      <x:c r="F11" s="4"/>
      <x:c r="G11" s="4" t="str">
        <x:v>Assumption</x:v>
      </x:c>
    </x:row>
    <x:row r="12" ht="22" customHeight="1">
      <x:c r="A12" s="2"/>
      <x:c r="B12" s="2"/>
      <x:c r="C12" s="2" t="str">
        <x:v>Price USD — pilot</x:v>
      </x:c>
      <x:c r="D12" s="12" t="n">
        <x:v>199</x:v>
      </x:c>
      <x:c r="E12" s="12" t="n">
        <x:v>299</x:v>
      </x:c>
      <x:c r="F12" s="4"/>
      <x:c r="G12" s="4" t="str">
        <x:v>Assumption; separate service offer</x:v>
      </x:c>
    </x:row>
    <x:row r="13" ht="22" customHeight="1">
      <x:c r="A13" s="2"/>
      <x:c r="B13" s="2"/>
      <x:c r="C13" s="13" t="str">
        <x:v>Delivery months — active</x:v>
      </x:c>
      <x:c r="D13" s="16" t="n">
        <x:f>IF($D$4=4,IF(COUNT(D15)=1,D15,"missing input"),IF(COUNT(D14)=1,D14,"missing input"))</x:f>
        <x:v>1</x:v>
      </x:c>
      <x:c r="E13" s="16" t="n">
        <x:f>IF($D$4=4,IF(COUNT(E15)=1,E15,"missing input"),IF(COUNT(E14)=1,E14,"missing input"))</x:f>
        <x:v>2</x:v>
      </x:c>
      <x:c r="F13" s="4"/>
      <x:c r="G13" s="4"/>
    </x:row>
    <x:row r="14" ht="22" customHeight="1">
      <x:c r="A14" s="2"/>
      <x:c r="B14" s="2"/>
      <x:c r="C14" s="2" t="str">
        <x:v>Delivery months — native</x:v>
      </x:c>
      <x:c r="D14" s="15" t="n">
        <x:v>1</x:v>
      </x:c>
      <x:c r="E14" s="15" t="n">
        <x:v>2</x:v>
      </x:c>
      <x:c r="F14" s="4"/>
      <x:c r="G14" s="4" t="str">
        <x:v>Assumption</x:v>
      </x:c>
    </x:row>
    <x:row r="15" ht="22" customHeight="1">
      <x:c r="A15" s="2"/>
      <x:c r="B15" s="2"/>
      <x:c r="C15" s="2" t="str">
        <x:v>Delivery months — pilot</x:v>
      </x:c>
      <x:c r="D15" s="15" t="n">
        <x:v>1</x:v>
      </x:c>
      <x:c r="E15" s="15" t="n">
        <x:v>2</x:v>
      </x:c>
      <x:c r="F15" s="4"/>
      <x:c r="G15" s="4" t="str">
        <x:v>Assumption; separate service offer</x:v>
      </x:c>
    </x:row>
    <x:row r="16" ht="22" customHeight="1">
      <x:c r="A16" s="2"/>
      <x:c r="B16" s="2"/>
      <x:c r="C16" s="2" t="str">
        <x:v>Expected refund fraction</x:v>
      </x:c>
      <x:c r="D16" s="17" t="n">
        <x:v>0.08</x:v>
      </x:c>
      <x:c r="E16" s="17" t="n">
        <x:v>0.08</x:v>
      </x:c>
      <x:c r="F16" s="4"/>
      <x:c r="G16" s="4" t="str">
        <x:v>Assumption; full variable cost retained for refunded buyers</x:v>
      </x:c>
    </x:row>
    <x:row r="17" ht="22" customHeight="1">
      <x:c r="A17" s="2"/>
      <x:c r="B17" s="2"/>
      <x:c r="C17" s="2" t="str">
        <x:v>Apple fee fraction</x:v>
      </x:c>
      <x:c r="D17" s="17" t="n">
        <x:v>0.15</x:v>
      </x:c>
      <x:c r="E17" s="17" t="n">
        <x:v>0.15</x:v>
      </x:c>
      <x:c r="F17" s="4"/>
      <x:c r="G17" s="4" t="str">
        <x:v>Conditional on approved Small Business enrollment. Source A.</x:v>
      </x:c>
    </x:row>
    <x:row r="18" ht="22" customHeight="1">
      <x:c r="A18" s="2"/>
      <x:c r="B18" s="2"/>
      <x:c r="C18" s="2" t="str">
        <x:v>US card fee fraction</x:v>
      </x:c>
      <x:c r="D18" s="17" t="n">
        <x:v>0.029</x:v>
      </x:c>
      <x:c r="E18" s="17" t="n">
        <x:v>0.029</x:v>
      </x:c>
      <x:c r="F18" s="4"/>
      <x:c r="G18" s="4" t="str">
        <x:v>Domestic online cards standard pricing. Source C.</x:v>
      </x:c>
    </x:row>
    <x:row r="19" ht="22" customHeight="1">
      <x:c r="A19" s="2"/>
      <x:c r="B19" s="2"/>
      <x:c r="C19" s="2" t="str">
        <x:v>US card fixed fee USD</x:v>
      </x:c>
      <x:c r="D19" s="12" t="n">
        <x:v>0.3</x:v>
      </x:c>
      <x:c r="E19" s="12" t="n">
        <x:v>0.3</x:v>
      </x:c>
      <x:c r="F19" s="4"/>
      <x:c r="G19" s="4" t="str">
        <x:v>Original processing fees retained on refund. Sources C and E.</x:v>
      </x:c>
    </x:row>
    <x:row r="20" ht="22" customHeight="1">
      <x:c r="A20" s="2"/>
      <x:c r="B20" s="2"/>
      <x:c r="C20" s="13" t="str">
        <x:v>Payment rail code — active</x:v>
      </x:c>
      <x:c r="D20" s="16" t="n">
        <x:f>IF($D$4=4,IF(COUNT(D22)=1,D22,"missing input"),IF(COUNT(D21)=1,D21,"missing input"))</x:f>
        <x:v>1</x:v>
      </x:c>
      <x:c r="E20" s="16" t="n">
        <x:f>IF($D$4=4,IF(COUNT(E22)=1,E22,"missing input"),IF(COUNT(E21)=1,E21,"missing input"))</x:f>
        <x:v>1</x:v>
      </x:c>
      <x:c r="F20" s="4"/>
      <x:c r="G20" s="4"/>
    </x:row>
    <x:row r="21" ht="22" customHeight="1">
      <x:c r="A21" s="2"/>
      <x:c r="B21" s="2"/>
      <x:c r="C21" s="2" t="str">
        <x:v>Payment rail code — native</x:v>
      </x:c>
      <x:c r="D21" s="15" t="n">
        <x:v>1</x:v>
      </x:c>
      <x:c r="E21" s="15" t="n">
        <x:v>1</x:v>
      </x:c>
      <x:c r="F21" s="4"/>
      <x:c r="G21" s="4" t="str">
        <x:v>Assumption</x:v>
      </x:c>
    </x:row>
    <x:row r="22" ht="22" customHeight="1">
      <x:c r="A22" s="2"/>
      <x:c r="B22" s="2"/>
      <x:c r="C22" s="2" t="str">
        <x:v>Payment rail code — pilot</x:v>
      </x:c>
      <x:c r="D22" s="15" t="n">
        <x:v>2</x:v>
      </x:c>
      <x:c r="E22" s="15" t="n">
        <x:v>2</x:v>
      </x:c>
      <x:c r="F22" s="4"/>
      <x:c r="G22" s="4" t="str">
        <x:v>Assumption; separate service offer</x:v>
      </x:c>
    </x:row>
    <x:row r="23" ht="22" customHeight="1">
      <x:c r="A23" s="2"/>
      <x:c r="B23" s="2"/>
      <x:c r="C23" s="13" t="str">
        <x:v>Collection lag months — active</x:v>
      </x:c>
      <x:c r="D23" s="16" t="n">
        <x:f>IF($D$4=4,IF(COUNT(D25)=1,D25,"missing input"),IF(COUNT(D24)=1,D24,"missing input"))</x:f>
        <x:v>2</x:v>
      </x:c>
      <x:c r="E23" s="16" t="n">
        <x:f>IF($D$4=4,IF(COUNT(E25)=1,E25,"missing input"),IF(COUNT(E24)=1,E24,"missing input"))</x:f>
        <x:v>2</x:v>
      </x:c>
      <x:c r="F23" s="4"/>
      <x:c r="G23" s="4"/>
    </x:row>
    <x:row r="24" ht="22" customHeight="1">
      <x:c r="A24" s="2"/>
      <x:c r="B24" s="2"/>
      <x:c r="C24" s="2" t="str">
        <x:v>Collection lag months — native</x:v>
      </x:c>
      <x:c r="D24" s="15" t="n">
        <x:v>2</x:v>
      </x:c>
      <x:c r="E24" s="15" t="n">
        <x:v>2</x:v>
      </x:c>
      <x:c r="F24" s="4"/>
      <x:c r="G24" s="4" t="str">
        <x:v>Assumption</x:v>
      </x:c>
    </x:row>
    <x:row r="25" ht="22" customHeight="1">
      <x:c r="A25" s="2"/>
      <x:c r="B25" s="2"/>
      <x:c r="C25" s="2" t="str">
        <x:v>Collection lag months — pilot</x:v>
      </x:c>
      <x:c r="D25" s="15" t="n">
        <x:v>0</x:v>
      </x:c>
      <x:c r="E25" s="15" t="n">
        <x:v>0</x:v>
      </x:c>
      <x:c r="F25" s="4"/>
      <x:c r="G25" s="4" t="str">
        <x:v>Assumption; separate service offer</x:v>
      </x:c>
    </x:row>
    <x:row r="26" ht="22" customHeight="1">
      <x:c r="A26" s="2"/>
      <x:c r="B26" s="2"/>
      <x:c r="C26" s="2" t="str">
        <x:v>Upfront variable fraction</x:v>
      </x:c>
      <x:c r="D26" s="17" t="n">
        <x:v>0.5</x:v>
      </x:c>
      <x:c r="E26" s="17" t="n">
        <x:v>0.5</x:v>
      </x:c>
      <x:c r="F26" s="4"/>
      <x:c r="G26" s="4" t="str">
        <x:v>Assumption; remaining half spread over service months</x:v>
      </x:c>
    </x:row>
    <x:row r="27" ht="22" customHeight="1">
      <x:c r="A27" s="2"/>
      <x:c r="B27" s="2"/>
      <x:c r="C27" s="13" t="str">
        <x:v>Expert minutes — active</x:v>
      </x:c>
      <x:c r="D27" s="16" t="n">
        <x:f>IF($D$4=4,IF(COUNT(D29)=1,D29,"missing input"),IF(COUNT(D28)=1,D28,"missing input"))</x:f>
        <x:v>30</x:v>
      </x:c>
      <x:c r="E27" s="16" t="n">
        <x:f>IF($D$4=4,IF(COUNT(E29)=1,E29,"missing input"),IF(COUNT(E28)=1,E28,"missing input"))</x:f>
        <x:v>45</x:v>
      </x:c>
      <x:c r="F27" s="4"/>
      <x:c r="G27" s="4"/>
    </x:row>
    <x:row r="28" ht="22" customHeight="1">
      <x:c r="A28" s="2"/>
      <x:c r="B28" s="2"/>
      <x:c r="C28" s="2" t="str">
        <x:v>Expert minutes — native</x:v>
      </x:c>
      <x:c r="D28" s="15" t="n">
        <x:v>30</x:v>
      </x:c>
      <x:c r="E28" s="15" t="n">
        <x:v>45</x:v>
      </x:c>
      <x:c r="F28" s="4"/>
      <x:c r="G28" s="4" t="str">
        <x:v>Assumption</x:v>
      </x:c>
    </x:row>
    <x:row r="29" ht="22" customHeight="1">
      <x:c r="A29" s="2"/>
      <x:c r="B29" s="2"/>
      <x:c r="C29" s="2" t="str">
        <x:v>Expert minutes — pilot</x:v>
      </x:c>
      <x:c r="D29" s="15" t="n">
        <x:v>90</x:v>
      </x:c>
      <x:c r="E29" s="15" t="n">
        <x:v>120</x:v>
      </x:c>
      <x:c r="F29" s="4"/>
      <x:c r="G29" s="4" t="str">
        <x:v>Assumption; separate service offer</x:v>
      </x:c>
    </x:row>
    <x:row r="30" ht="22" customHeight="1">
      <x:c r="A30" s="2"/>
      <x:c r="B30" s="2"/>
      <x:c r="C30" s="2" t="str">
        <x:v>Expert hourly USD</x:v>
      </x:c>
      <x:c r="D30" s="12" t="n">
        <x:v>60</x:v>
      </x:c>
      <x:c r="E30" s="12" t="n">
        <x:v>80</x:v>
      </x:c>
      <x:c r="F30" s="4"/>
      <x:c r="G30" s="4" t="str">
        <x:v>Assumption; qualified human review cost</x:v>
      </x:c>
    </x:row>
    <x:row r="31" ht="22" customHeight="1">
      <x:c r="A31" s="2"/>
      <x:c r="B31" s="2"/>
      <x:c r="C31" s="13" t="str">
        <x:v>Support minutes — active</x:v>
      </x:c>
      <x:c r="D31" s="16" t="n">
        <x:f>IF($D$4=4,IF(COUNT(D33)=1,D33,"missing input"),IF(COUNT(D32)=1,D32,"missing input"))</x:f>
        <x:v>15</x:v>
      </x:c>
      <x:c r="E31" s="16" t="n">
        <x:f>IF($D$4=4,IF(COUNT(E33)=1,E33,"missing input"),IF(COUNT(E32)=1,E32,"missing input"))</x:f>
        <x:v>30</x:v>
      </x:c>
      <x:c r="F31" s="4"/>
      <x:c r="G31" s="4"/>
    </x:row>
    <x:row r="32" ht="22" customHeight="1">
      <x:c r="A32" s="2"/>
      <x:c r="B32" s="2"/>
      <x:c r="C32" s="2" t="str">
        <x:v>Support minutes — native</x:v>
      </x:c>
      <x:c r="D32" s="15" t="n">
        <x:v>15</x:v>
      </x:c>
      <x:c r="E32" s="15" t="n">
        <x:v>30</x:v>
      </x:c>
      <x:c r="F32" s="4"/>
      <x:c r="G32" s="4" t="str">
        <x:v>Assumption</x:v>
      </x:c>
    </x:row>
    <x:row r="33" ht="22" customHeight="1">
      <x:c r="A33" s="2"/>
      <x:c r="B33" s="2"/>
      <x:c r="C33" s="2" t="str">
        <x:v>Support minutes — pilot</x:v>
      </x:c>
      <x:c r="D33" s="15" t="n">
        <x:v>30</x:v>
      </x:c>
      <x:c r="E33" s="15" t="n">
        <x:v>30</x:v>
      </x:c>
      <x:c r="F33" s="4"/>
      <x:c r="G33" s="4" t="str">
        <x:v>Assumption; separate service offer</x:v>
      </x:c>
    </x:row>
    <x:row r="34" ht="22" customHeight="1">
      <x:c r="A34" s="2"/>
      <x:c r="B34" s="2"/>
      <x:c r="C34" s="2" t="str">
        <x:v>Support hourly USD</x:v>
      </x:c>
      <x:c r="D34" s="12" t="n">
        <x:v>30</x:v>
      </x:c>
      <x:c r="E34" s="12" t="n">
        <x:v>30</x:v>
      </x:c>
      <x:c r="F34" s="4"/>
      <x:c r="G34" s="4" t="str">
        <x:v>Assumption</x:v>
      </x:c>
    </x:row>
    <x:row r="35" ht="22" customHeight="1">
      <x:c r="A35" s="2"/>
      <x:c r="B35" s="2"/>
      <x:c r="C35" s="2" t="str">
        <x:v>AI budget per buyer USD</x:v>
      </x:c>
      <x:c r="D35" s="12" t="n">
        <x:v>2</x:v>
      </x:c>
      <x:c r="E35" s="12" t="n">
        <x:v>3</x:v>
      </x:c>
      <x:c r="F35" s="4"/>
      <x:c r="G35" s="4" t="str">
        <x:v>Assumption, not a model/API benchmark</x:v>
      </x:c>
    </x:row>
    <x:row r="36" ht="22" customHeight="1">
      <x:c r="A36" s="2"/>
      <x:c r="B36" s="2"/>
      <x:c r="C36" s="2" t="str">
        <x:v>Infrastructure per buyer USD</x:v>
      </x:c>
      <x:c r="D36" s="12" t="n">
        <x:v>1.5</x:v>
      </x:c>
      <x:c r="E36" s="12" t="n">
        <x:v>2</x:v>
      </x:c>
      <x:c r="F36" s="4"/>
      <x:c r="G36" s="4" t="str">
        <x:v>Assumption</x:v>
      </x:c>
    </x:row>
    <x:row r="37" ht="22" customHeight="1">
      <x:c r="A37" s="2"/>
      <x:c r="B37" s="2"/>
      <x:c r="C37" s="2" t="str">
        <x:v>Content license per buyer USD</x:v>
      </x:c>
      <x:c r="D37" s="12" t="n">
        <x:v>5</x:v>
      </x:c>
      <x:c r="E37" s="12" t="n">
        <x:v>8</x:v>
      </x:c>
      <x:c r="F37" s="4"/>
      <x:c r="G37" s="4" t="str">
        <x:v>Assumption</x:v>
      </x:c>
    </x:row>
    <x:row r="38" ht="22" customHeight="1">
      <x:c r="A38" s="2"/>
      <x:c r="B38" s="2"/>
      <x:c r="C38" s="13" t="str">
        <x:v>Acquisition per buyer USD — active</x:v>
      </x:c>
      <x:c r="D38" s="14" t="n">
        <x:f>IF($D$4=4,IF(COUNT(D40)=1,D40,"missing input"),IF(COUNT(D39)=1,D39,"missing input"))</x:f>
        <x:v>30</x:v>
      </x:c>
      <x:c r="E38" s="14" t="n">
        <x:f>IF($D$4=4,IF(COUNT(E40)=1,E40,"missing input"),IF(COUNT(E39)=1,E39,"missing input"))</x:f>
        <x:v>40</x:v>
      </x:c>
      <x:c r="F38" s="4"/>
      <x:c r="G38" s="4"/>
    </x:row>
    <x:row r="39" ht="22" customHeight="1">
      <x:c r="A39" s="2"/>
      <x:c r="B39" s="2"/>
      <x:c r="C39" s="2" t="str">
        <x:v>Acquisition per buyer USD — native</x:v>
      </x:c>
      <x:c r="D39" s="12" t="n">
        <x:v>30</x:v>
      </x:c>
      <x:c r="E39" s="12" t="n">
        <x:v>40</x:v>
      </x:c>
      <x:c r="F39" s="4"/>
      <x:c r="G39" s="4" t="str">
        <x:v>Assumption</x:v>
      </x:c>
    </x:row>
    <x:row r="40" ht="22" customHeight="1">
      <x:c r="A40" s="2"/>
      <x:c r="B40" s="2"/>
      <x:c r="C40" s="2" t="str">
        <x:v>Acquisition per buyer USD — pilot</x:v>
      </x:c>
      <x:c r="D40" s="12" t="n">
        <x:v>30</x:v>
      </x:c>
      <x:c r="E40" s="12" t="n">
        <x:v>45</x:v>
      </x:c>
      <x:c r="F40" s="4"/>
      <x:c r="G40" s="4" t="str">
        <x:v>Assumption; separate service offer</x:v>
      </x:c>
    </x:row>
    <x:row r="41" ht="22" customHeight="1">
      <x:c r="A41" s="2"/>
      <x:c r="B41" s="2"/>
      <x:c r="C41" s="2" t="str">
        <x:v>Startup cash in October USD</x:v>
      </x:c>
      <x:c r="D41" s="12" t="n">
        <x:v>8000</x:v>
      </x:c>
      <x:c r="E41" s="12" t="n">
        <x:v>12000</x:v>
      </x:c>
      <x:c r="F41" s="4"/>
      <x:c r="G41" s="4" t="str">
        <x:v>Assumption; not a quote for fully outsourced native development</x:v>
      </x:c>
    </x:row>
    <x:row r="42" ht="22" customHeight="1">
      <x:c r="A42" s="2"/>
      <x:c r="B42" s="2"/>
      <x:c r="C42" s="2" t="str">
        <x:v>Monthly fixed October–December USD</x:v>
      </x:c>
      <x:c r="D42" s="12" t="n">
        <x:v>1000</x:v>
      </x:c>
      <x:c r="E42" s="12" t="n">
        <x:v>1500</x:v>
      </x:c>
      <x:c r="F42" s="4"/>
      <x:c r="G42" s="4" t="str">
        <x:v>Excludes founder draw. January onward not specified.</x:v>
      </x:c>
    </x:row>
    <x:row r="43" ht="22" customHeight="1">
      <x:c r="A43" s="2"/>
      <x:c r="B43" s="2"/>
      <x:c r="C43" s="2" t="str">
        <x:v>Monthly founder draw October–December USD</x:v>
      </x:c>
      <x:c r="D43" s="12" t="n">
        <x:v>3000</x:v>
      </x:c>
      <x:c r="E43" s="12" t="n">
        <x:v>3000</x:v>
      </x:c>
      <x:c r="F43" s="4"/>
      <x:c r="G43" s="4" t="str">
        <x:v>Required compensation coverage shown separately from operating expense</x:v>
      </x:c>
    </x:row>
    <x:row r="44" ht="22" customHeight="1">
      <x:c r="A44" s="2"/>
      <x:c r="B44" s="2"/>
      <x:c r="C44" s="2" t="str">
        <x:v>One additional purchase probability</x:v>
      </x:c>
      <x:c r="D44" s="17" t="n">
        <x:v>0</x:v>
      </x:c>
      <x:c r="E44" s="17" t="n">
        <x:v>0</x:v>
      </x:c>
      <x:c r="F44" s="4"/>
      <x:c r="G44" s="4" t="str">
        <x:v>Speculative; zero in Q4 cash; same CAC and variable cost per repeat</x:v>
      </x:c>
    </x:row>
    <x:row r="45" ht="22" customHeight="1">
      <x:c r="A45" s="2"/>
      <x:c r="B45" s="2"/>
      <x:c r="C45" s="13" t="str">
        <x:v>Oct buyers — active</x:v>
      </x:c>
      <x:c r="D45" s="16" t="n">
        <x:f>CHOOSE($D$4,IF(COUNT(D46)=1,D46,"missing input"),IF(COUNT(D47)=1,D47,"missing input"),IF(COUNT(D48)=1,D48,"missing input"),IF(COUNT(D49)=1,D49,"missing input"))</x:f>
        <x:v>0</x:v>
      </x:c>
      <x:c r="E45" s="16" t="n">
        <x:f>CHOOSE($D$4,IF(COUNT(E46)=1,E46,"missing input"),IF(COUNT(E47)=1,E47,"missing input"),IF(COUNT(E48)=1,E48,"missing input"),IF(COUNT(E49)=1,E49,"missing input"))</x:f>
        <x:v>0</x:v>
      </x:c>
      <x:c r="F45" s="4"/>
      <x:c r="G45" s="4"/>
    </x:row>
    <x:row r="46" ht="22" customHeight="1">
      <x:c r="A46" s="2"/>
      <x:c r="B46" s="2"/>
      <x:c r="C46" s="2" t="str">
        <x:v>Oct buyers — Base</x:v>
      </x:c>
      <x:c r="D46" s="15" t="n">
        <x:v>0</x:v>
      </x:c>
      <x:c r="E46" s="15" t="n">
        <x:v>0</x:v>
      </x:c>
      <x:c r="F46" s="4"/>
      <x:c r="G46" s="4" t="str">
        <x:v>Assumed test volume; not a demand forecast</x:v>
      </x:c>
    </x:row>
    <x:row r="47" ht="22" customHeight="1">
      <x:c r="A47" s="2"/>
      <x:c r="B47" s="2"/>
      <x:c r="C47" s="2" t="str">
        <x:v>Oct buyers — Early</x:v>
      </x:c>
      <x:c r="D47" s="15" t="n">
        <x:v>40</x:v>
      </x:c>
      <x:c r="E47" s="15" t="n">
        <x:v>40</x:v>
      </x:c>
      <x:c r="F47" s="4"/>
      <x:c r="G47" s="4" t="str">
        <x:v>Assumed test volume; not a demand forecast</x:v>
      </x:c>
    </x:row>
    <x:row r="48" ht="22" customHeight="1">
      <x:c r="A48" s="2"/>
      <x:c r="B48" s="2"/>
      <x:c r="C48" s="2" t="str">
        <x:v>Oct buyers — Zero</x:v>
      </x:c>
      <x:c r="D48" s="15" t="n">
        <x:v>0</x:v>
      </x:c>
      <x:c r="E48" s="15" t="n">
        <x:v>0</x:v>
      </x:c>
      <x:c r="F48" s="4"/>
      <x:c r="G48" s="4" t="str">
        <x:v>Assumed test volume; not a demand forecast</x:v>
      </x:c>
    </x:row>
    <x:row r="49" ht="22" customHeight="1">
      <x:c r="A49" s="2"/>
      <x:c r="B49" s="2"/>
      <x:c r="C49" s="2" t="str">
        <x:v>Oct buyers — Pilot</x:v>
      </x:c>
      <x:c r="D49" s="15" t="n">
        <x:v>10</x:v>
      </x:c>
      <x:c r="E49" s="15" t="n">
        <x:v>10</x:v>
      </x:c>
      <x:c r="F49" s="4"/>
      <x:c r="G49" s="4" t="str">
        <x:v>Assumed test volume; not a demand forecast</x:v>
      </x:c>
    </x:row>
    <x:row r="50" ht="22" customHeight="1">
      <x:c r="A50" s="2"/>
      <x:c r="B50" s="2"/>
      <x:c r="C50" s="13" t="str">
        <x:v>Nov buyers — active</x:v>
      </x:c>
      <x:c r="D50" s="16" t="n">
        <x:f>CHOOSE($D$4,IF(COUNT(D51)=1,D51,"missing input"),IF(COUNT(D52)=1,D52,"missing input"),IF(COUNT(D53)=1,D53,"missing input"),IF(COUNT(D54)=1,D54,"missing input"))</x:f>
        <x:v>40</x:v>
      </x:c>
      <x:c r="E50" s="16" t="n">
        <x:f>CHOOSE($D$4,IF(COUNT(E51)=1,E51,"missing input"),IF(COUNT(E52)=1,E52,"missing input"),IF(COUNT(E53)=1,E53,"missing input"),IF(COUNT(E54)=1,E54,"missing input"))</x:f>
        <x:v>40</x:v>
      </x:c>
      <x:c r="F50" s="4"/>
      <x:c r="G50" s="4"/>
    </x:row>
    <x:row r="51" ht="22" customHeight="1">
      <x:c r="A51" s="2"/>
      <x:c r="B51" s="2"/>
      <x:c r="C51" s="2" t="str">
        <x:v>Nov buyers — Base</x:v>
      </x:c>
      <x:c r="D51" s="15" t="n">
        <x:v>40</x:v>
      </x:c>
      <x:c r="E51" s="15" t="n">
        <x:v>40</x:v>
      </x:c>
      <x:c r="F51" s="4"/>
      <x:c r="G51" s="4" t="str">
        <x:v>Assumed test volume; not a demand forecast</x:v>
      </x:c>
    </x:row>
    <x:row r="52" ht="22" customHeight="1">
      <x:c r="A52" s="2"/>
      <x:c r="B52" s="2"/>
      <x:c r="C52" s="2" t="str">
        <x:v>Nov buyers — Early</x:v>
      </x:c>
      <x:c r="D52" s="15" t="n">
        <x:v>80</x:v>
      </x:c>
      <x:c r="E52" s="15" t="n">
        <x:v>80</x:v>
      </x:c>
      <x:c r="F52" s="4"/>
      <x:c r="G52" s="4" t="str">
        <x:v>Assumed test volume; not a demand forecast</x:v>
      </x:c>
    </x:row>
    <x:row r="53" ht="22" customHeight="1">
      <x:c r="A53" s="2"/>
      <x:c r="B53" s="2"/>
      <x:c r="C53" s="2" t="str">
        <x:v>Nov buyers — Zero</x:v>
      </x:c>
      <x:c r="D53" s="15" t="n">
        <x:v>0</x:v>
      </x:c>
      <x:c r="E53" s="15" t="n">
        <x:v>0</x:v>
      </x:c>
      <x:c r="F53" s="4"/>
      <x:c r="G53" s="4" t="str">
        <x:v>Assumed test volume; not a demand forecast</x:v>
      </x:c>
    </x:row>
    <x:row r="54" ht="22" customHeight="1">
      <x:c r="A54" s="2"/>
      <x:c r="B54" s="2"/>
      <x:c r="C54" s="2" t="str">
        <x:v>Nov buyers — Pilot</x:v>
      </x:c>
      <x:c r="D54" s="15" t="n">
        <x:v>0</x:v>
      </x:c>
      <x:c r="E54" s="15" t="n">
        <x:v>0</x:v>
      </x:c>
      <x:c r="F54" s="4"/>
      <x:c r="G54" s="4" t="str">
        <x:v>Assumed test volume; not a demand forecast</x:v>
      </x:c>
    </x:row>
    <x:row r="55" ht="22" customHeight="1">
      <x:c r="A55" s="2"/>
      <x:c r="B55" s="2"/>
      <x:c r="C55" s="13" t="str">
        <x:v>Dec buyers — active</x:v>
      </x:c>
      <x:c r="D55" s="16" t="n">
        <x:f>CHOOSE($D$4,IF(COUNT(D56)=1,D56,"missing input"),IF(COUNT(D57)=1,D57,"missing input"),IF(COUNT(D58)=1,D58,"missing input"),IF(COUNT(D59)=1,D59,"missing input"))</x:f>
        <x:v>80</x:v>
      </x:c>
      <x:c r="E55" s="16" t="n">
        <x:f>CHOOSE($D$4,IF(COUNT(E56)=1,E56,"missing input"),IF(COUNT(E57)=1,E57,"missing input"),IF(COUNT(E58)=1,E58,"missing input"),IF(COUNT(E59)=1,E59,"missing input"))</x:f>
        <x:v>80</x:v>
      </x:c>
      <x:c r="F55" s="4"/>
      <x:c r="G55" s="4"/>
    </x:row>
    <x:row r="56" ht="22" customHeight="1">
      <x:c r="A56" s="2"/>
      <x:c r="B56" s="2"/>
      <x:c r="C56" s="2" t="str">
        <x:v>Dec buyers — Base</x:v>
      </x:c>
      <x:c r="D56" s="15" t="n">
        <x:v>80</x:v>
      </x:c>
      <x:c r="E56" s="15" t="n">
        <x:v>80</x:v>
      </x:c>
      <x:c r="F56" s="4"/>
      <x:c r="G56" s="4" t="str">
        <x:v>Assumed test volume; not a demand forecast</x:v>
      </x:c>
    </x:row>
    <x:row r="57" ht="22" customHeight="1">
      <x:c r="A57" s="2"/>
      <x:c r="B57" s="2"/>
      <x:c r="C57" s="2" t="str">
        <x:v>Dec buyers — Early</x:v>
      </x:c>
      <x:c r="D57" s="15" t="n">
        <x:v>120</x:v>
      </x:c>
      <x:c r="E57" s="15" t="n">
        <x:v>120</x:v>
      </x:c>
      <x:c r="F57" s="4"/>
      <x:c r="G57" s="4" t="str">
        <x:v>Assumed test volume; not a demand forecast</x:v>
      </x:c>
    </x:row>
    <x:row r="58" ht="22" customHeight="1">
      <x:c r="A58" s="2"/>
      <x:c r="B58" s="2"/>
      <x:c r="C58" s="2" t="str">
        <x:v>Dec buyers — Zero</x:v>
      </x:c>
      <x:c r="D58" s="15" t="n">
        <x:v>0</x:v>
      </x:c>
      <x:c r="E58" s="15" t="n">
        <x:v>0</x:v>
      </x:c>
      <x:c r="F58" s="4"/>
      <x:c r="G58" s="4" t="str">
        <x:v>Assumed test volume; not a demand forecast</x:v>
      </x:c>
    </x:row>
    <x:row r="59" ht="22" customHeight="1">
      <x:c r="A59" s="2"/>
      <x:c r="B59" s="2"/>
      <x:c r="C59" s="2" t="str">
        <x:v>Dec buyers — Pilot</x:v>
      </x:c>
      <x:c r="D59" s="15" t="n">
        <x:v>0</x:v>
      </x:c>
      <x:c r="E59" s="15" t="n">
        <x:v>0</x:v>
      </x:c>
      <x:c r="F59" s="4"/>
      <x:c r="G59" s="4" t="str">
        <x:v>Assumed test volume; not a demand forecast</x:v>
      </x:c>
    </x:row>
    <x:row r="60" ht="22" customHeight="1">
      <x:c r="A60" s="2"/>
      <x:c r="B60" s="2"/>
      <x:c r="C60" s="2"/>
      <x:c r="D60" s="4"/>
      <x:c r="E60" s="4"/>
      <x:c r="F60" s="4"/>
      <x:c r="G60" s="4"/>
    </x:row>
    <x:row r="61" ht="22" customHeight="1">
      <x:c r="A61" s="2"/>
      <x:c r="B61" s="2"/>
      <x:c r="C61" s="2"/>
      <x:c r="D61" s="4"/>
      <x:c r="E61" s="4"/>
      <x:c r="F61" s="4"/>
      <x:c r="G61" s="4"/>
    </x:row>
    <x:row r="62" ht="27" customHeight="1">
      <x:c r="A62" s="2"/>
      <x:c r="B62" s="2"/>
      <x:c r="C62" s="9" t="str">
        <x:v>Payment sources</x:v>
      </x:c>
      <x:c r="D62" s="10" t="str">
        <x:v>Accessed</x:v>
      </x:c>
      <x:c r="E62" s="10" t="str">
        <x:v>Basis</x:v>
      </x:c>
      <x:c r="F62" s="4"/>
      <x:c r="G62" s="4"/>
    </x:row>
    <x:row r="63" ht="22" customHeight="1">
      <x:c r="A63" s="2"/>
      <x:c r="B63" s="2"/>
      <x:c r="C63" s="2" t="str">
        <x:v>A apple</x:v>
      </x:c>
      <x:c r="D63" s="4" t="str">
        <x:v>2026-09-12</x:v>
      </x:c>
      <x:c r="E63" s="4"/>
      <x:c r="F63" s="4"/>
      <x:c r="G63" s="4" t="str">
        <x:v>https://developer.apple.com/app-store/small-business-program/</x:v>
      </x:c>
    </x:row>
    <x:row r="64" ht="22" customHeight="1">
      <x:c r="A64" s="2"/>
      <x:c r="B64" s="2"/>
      <x:c r="C64" s="2" t="str">
        <x:v>B payment</x:v>
      </x:c>
      <x:c r="D64" s="4" t="str">
        <x:v>2026-09-12</x:v>
      </x:c>
      <x:c r="E64" s="4"/>
      <x:c r="F64" s="4"/>
      <x:c r="G64" s="4" t="str">
        <x:v>https://developer.apple.com/help/app-store-connect/getting-paid/overview-of-receiving-payments/</x:v>
      </x:c>
    </x:row>
    <x:row r="65" ht="22" customHeight="1">
      <x:c r="A65" s="2"/>
      <x:c r="B65" s="2"/>
      <x:c r="C65" s="2" t="str">
        <x:v>C stripe</x:v>
      </x:c>
      <x:c r="D65" s="4" t="str">
        <x:v>2026-09-12</x:v>
      </x:c>
      <x:c r="E65" s="4"/>
      <x:c r="F65" s="4"/>
      <x:c r="G65" s="4" t="str">
        <x:v>https://stripe.com/pricing</x:v>
      </x:c>
    </x:row>
    <x:row r="66" ht="22" customHeight="1">
      <x:c r="A66" s="2"/>
      <x:c r="B66" s="2"/>
      <x:c r="C66" s="2" t="str">
        <x:v>D payout</x:v>
      </x:c>
      <x:c r="D66" s="4" t="str">
        <x:v>2026-09-12</x:v>
      </x:c>
      <x:c r="E66" s="4"/>
      <x:c r="F66" s="4"/>
      <x:c r="G66" s="4" t="str">
        <x:v>https://docs.stripe.com/payouts</x:v>
      </x:c>
    </x:row>
    <x:row r="67" ht="22" customHeight="1">
      <x:c r="A67" s="2"/>
      <x:c r="B67" s="2"/>
      <x:c r="C67" s="2" t="str">
        <x:v>E refunds</x:v>
      </x:c>
      <x:c r="D67" s="4" t="str">
        <x:v>2026-09-12</x:v>
      </x:c>
      <x:c r="E67" s="4"/>
      <x:c r="F67" s="4"/>
      <x:c r="G67" s="4" t="str">
        <x:v>https://support.stripe.com/questions/understanding-fees-for-refunded-payments</x:v>
      </x:c>
    </x:row>
    <x:row r="68" ht="22" customHeight="1">
      <x:c r="A68" s="2"/>
      <x:c r="B68" s="2"/>
      <x:c r="C68" s="2"/>
      <x:c r="D68" s="4"/>
      <x:c r="E68" s="4"/>
      <x:c r="F68" s="4"/>
      <x:c r="G68" s="4"/>
    </x:row>
    <x:row r="69" ht="22" customHeight="1">
      <x:c r="A69" s="2"/>
      <x:c r="B69" s="2"/>
      <x:c r="C69" s="6" t="str">
        <x:v>Apple lag: conservative calendar proxy, not Apple fiscal dates or a guaranteed bank date.</x:v>
      </x:c>
      <x:c r="D69" s="4"/>
      <x:c r="E69" s="4"/>
      <x:c r="F69" s="4"/>
      <x:c r="G69" s="4"/>
    </x:row>
    <x:row r="70" ht="22" customHeight="1">
      <x:c r="A70" s="2"/>
      <x:c r="B70" s="2"/>
      <x:c r="C70" s="6" t="str">
        <x:v>Pilot lag 0 assumes early-month sales and a favorable first payout within 14 days.</x:v>
      </x:c>
      <x:c r="D70" s="4"/>
      <x:c r="E70" s="4"/>
      <x:c r="F70" s="4"/>
      <x:c r="G70" s="4"/>
    </x:row>
    <x:row r="71" ht="22" customHeight="1">
      <x:c r="A71" s="2"/>
      <x:c r="B71" s="2"/>
      <x:c r="C71" s="6" t="str">
        <x:v>Tax, disputes, foreign card fees and fully paid founder development are excluded.</x:v>
      </x:c>
      <x:c r="D71" s="4"/>
      <x:c r="E71" s="4"/>
      <x:c r="F71" s="4"/>
      <x:c r="G71" s="4"/>
    </x:row>
    <x:row r="72" ht="22" customHeight="1">
      <x:c r="A72" s="2"/>
      <x:c r="B72" s="2"/>
      <x:c r="C72" s="6" t="str">
        <x:v>CAC includes acquisition labor and partner fees. No extra royalty is assumed.</x:v>
      </x:c>
      <x:c r="D72" s="4"/>
      <x:c r="E72" s="4"/>
      <x:c r="F72" s="4"/>
      <x:c r="G72" s="4"/>
    </x:row>
    <x:row r="73" ht="22" customHeight="1">
      <x:c r="A73" s="2"/>
      <x:c r="B73" s="2"/>
      <x:c r="C73" s="6" t="str">
        <x:v>Rail 1: Apple IAP. Rail 2: US domestic online card. This is not advice on digital checkout eligibility.</x:v>
      </x:c>
      <x:c r="D73" s="4"/>
      <x:c r="E73" s="4"/>
      <x:c r="F73" s="4"/>
      <x:c r="G73" s="4"/>
    </x:row>
    <x:row r="74" ht="22" customHeight="1">
      <x:c r="A74" s="2"/>
      <x:c r="B74" s="2"/>
      <x:c r="C74" s="6" t="str">
        <x:v>Apple pays within 45 days after fiscal month-end when its payment requirements are met.</x:v>
      </x:c>
      <x:c r="D74" s="4"/>
      <x:c r="E74" s="4"/>
      <x:c r="F74" s="4"/>
      <x:c r="G74" s="4"/>
    </x:row>
    <x:row r="75" ht="22" customHeight="1">
      <x:c r="A75" s="2"/>
      <x:c r="B75" s="2"/>
      <x:c r="C75" s="2"/>
      <x:c r="D75" s="4"/>
      <x:c r="E75" s="4"/>
      <x:c r="F75" s="4"/>
      <x:c r="G75" s="4"/>
    </x:row>
    <x:row r="76" ht="22" customHeight="1">
      <x:c r="A76" s="2"/>
      <x:c r="B76" s="2"/>
      <x:c r="C76" s="2"/>
      <x:c r="D76" s="4"/>
      <x:c r="E76" s="4"/>
      <x:c r="F76" s="4"/>
      <x:c r="G76" s="4"/>
    </x:row>
    <x:row r="77" ht="22" customHeight="1">
      <x:c r="A77" s="2"/>
      <x:c r="B77" s="2"/>
      <x:c r="C77" s="2"/>
      <x:c r="D77" s="4"/>
      <x:c r="E77" s="4"/>
      <x:c r="F77" s="4"/>
      <x:c r="G77" s="4"/>
    </x:row>
    <x:row r="78" ht="22" customHeight="1">
      <x:c r="A78" s="2"/>
      <x:c r="B78" s="2"/>
      <x:c r="C78" s="2"/>
      <x:c r="D78" s="4"/>
      <x:c r="E78" s="4"/>
      <x:c r="F78" s="4"/>
      <x:c r="G78" s="4"/>
    </x:row>
    <x:row r="79" ht="22" customHeight="1">
      <x:c r="A79" s="2"/>
      <x:c r="B79" s="2"/>
      <x:c r="C79" s="2"/>
      <x:c r="D79" s="4"/>
      <x:c r="E79" s="4"/>
      <x:c r="F79" s="4"/>
      <x:c r="G79" s="4"/>
    </x:row>
    <x:row r="80" ht="22" customHeight="1">
      <x:c r="A80" s="2"/>
      <x:c r="B80" s="2"/>
      <x:c r="C80" s="2"/>
      <x:c r="D80" s="4"/>
      <x:c r="E80" s="4"/>
      <x:c r="F80" s="4"/>
      <x:c r="G80" s="4"/>
    </x:row>
    <x:row r="81" ht="22" customHeight="1">
      <x:c r="A81" s="2"/>
      <x:c r="B81" s="2"/>
      <x:c r="C81" s="2"/>
      <x:c r="D81" s="4"/>
      <x:c r="E81" s="4"/>
      <x:c r="F81" s="4"/>
      <x:c r="G81" s="4"/>
    </x:row>
    <x:row r="82" ht="22" customHeight="1">
      <x:c r="A82" s="2"/>
      <x:c r="B82" s="2"/>
      <x:c r="C82" s="2"/>
      <x:c r="D82" s="4"/>
      <x:c r="E82" s="4"/>
      <x:c r="F82" s="4"/>
      <x:c r="G82" s="4"/>
    </x:row>
    <x:row r="83" ht="22" customHeight="1">
      <x:c r="A83" s="2"/>
      <x:c r="B83" s="2"/>
      <x:c r="C83" s="2"/>
      <x:c r="D83" s="4"/>
      <x:c r="E83" s="4"/>
      <x:c r="F83" s="4"/>
      <x:c r="G83" s="4"/>
    </x:row>
    <x:row r="84" ht="22" customHeight="1">
      <x:c r="A84" s="2"/>
      <x:c r="B84" s="2"/>
      <x:c r="C84" s="2"/>
      <x:c r="D84" s="4"/>
      <x:c r="E84" s="4"/>
      <x:c r="F84" s="4"/>
      <x:c r="G84" s="4"/>
    </x:row>
    <x:row r="85" ht="22" customHeight="1">
      <x:c r="A85" s="2"/>
      <x:c r="B85" s="2"/>
      <x:c r="C85" s="2"/>
      <x:c r="D85" s="4"/>
      <x:c r="E85" s="4"/>
      <x:c r="F85" s="4"/>
      <x:c r="G85" s="4"/>
    </x:row>
    <x:row r="86" ht="22" customHeight="1">
      <x:c r="A86" s="2"/>
      <x:c r="B86" s="2"/>
      <x:c r="C86" s="2"/>
      <x:c r="D86" s="4"/>
      <x:c r="E86" s="4"/>
      <x:c r="F86" s="4"/>
      <x:c r="G86" s="4"/>
    </x:row>
    <x:row r="87" ht="22" customHeight="1">
      <x:c r="A87" s="2"/>
      <x:c r="B87" s="2"/>
      <x:c r="C87" s="2"/>
      <x:c r="D87" s="4"/>
      <x:c r="E87" s="4"/>
      <x:c r="F87" s="4"/>
      <x:c r="G87" s="4"/>
    </x:row>
    <x:row r="88" ht="22" customHeight="1">
      <x:c r="A88" s="2"/>
      <x:c r="B88" s="2"/>
      <x:c r="C88" s="2"/>
      <x:c r="D88" s="4"/>
      <x:c r="E88" s="4"/>
      <x:c r="F88" s="4"/>
      <x:c r="G88" s="4"/>
    </x:row>
    <x:row r="89" ht="22" customHeight="1">
      <x:c r="A89" s="2"/>
      <x:c r="B89" s="2"/>
      <x:c r="C89" s="2"/>
      <x:c r="D89" s="4"/>
      <x:c r="E89" s="4"/>
      <x:c r="F89" s="4"/>
      <x:c r="G89" s="4"/>
    </x:row>
    <x:row r="90" ht="22" customHeight="1">
      <x:c r="A90" s="2"/>
      <x:c r="B90" s="2"/>
      <x:c r="C90" s="2"/>
      <x:c r="D90" s="4"/>
      <x:c r="E90" s="4"/>
      <x:c r="F90" s="4"/>
      <x:c r="G90" s="4"/>
    </x:row>
    <x:row r="91" ht="22" customHeight="1">
      <x:c r="A91" s="2"/>
      <x:c r="B91" s="2"/>
      <x:c r="C91" s="2"/>
      <x:c r="D91" s="4"/>
      <x:c r="E91" s="4"/>
      <x:c r="F91" s="4"/>
      <x:c r="G91" s="4"/>
    </x:row>
    <x:row r="92" ht="22" customHeight="1">
      <x:c r="A92" s="2"/>
      <x:c r="B92" s="2"/>
      <x:c r="C92" s="2"/>
      <x:c r="D92" s="4"/>
      <x:c r="E92" s="4"/>
      <x:c r="F92" s="4"/>
      <x:c r="G92" s="4"/>
    </x:row>
    <x:row r="93" ht="22" customHeight="1">
      <x:c r="A93" s="2"/>
      <x:c r="B93" s="2"/>
      <x:c r="C93" s="2"/>
      <x:c r="D93" s="4"/>
      <x:c r="E93" s="4"/>
      <x:c r="F93" s="4"/>
      <x:c r="G93" s="4"/>
    </x:row>
    <x:row r="94" ht="22" customHeight="1">
      <x:c r="A94" s="2"/>
      <x:c r="B94" s="2"/>
      <x:c r="C94" s="2"/>
      <x:c r="D94" s="4"/>
      <x:c r="E94" s="4"/>
      <x:c r="F94" s="4"/>
      <x:c r="G94" s="4"/>
    </x:row>
    <x:row r="95" ht="22" customHeight="1">
      <x:c r="A95" s="2"/>
      <x:c r="B95" s="2"/>
      <x:c r="C95" s="2"/>
      <x:c r="D95" s="4"/>
      <x:c r="E95" s="4"/>
      <x:c r="F95" s="4"/>
      <x:c r="G95" s="4"/>
    </x:row>
    <x:row r="96" ht="22" customHeight="1">
      <x:c r="A96" s="2"/>
      <x:c r="B96" s="2"/>
      <x:c r="C96" s="2"/>
      <x:c r="D96" s="4"/>
      <x:c r="E96" s="4"/>
      <x:c r="F96" s="4"/>
      <x:c r="G96" s="4"/>
    </x:row>
    <x:row r="97" ht="22" customHeight="1">
      <x:c r="A97" s="2"/>
      <x:c r="B97" s="2"/>
      <x:c r="C97" s="2"/>
      <x:c r="D97" s="4"/>
      <x:c r="E97" s="4"/>
      <x:c r="F97" s="4"/>
      <x:c r="G97" s="4"/>
    </x:row>
    <x:row r="98" ht="22" customHeight="1">
      <x:c r="A98" s="2"/>
      <x:c r="B98" s="2"/>
      <x:c r="C98" s="2"/>
      <x:c r="D98" s="4"/>
      <x:c r="E98" s="4"/>
      <x:c r="F98" s="4"/>
      <x:c r="G98" s="4"/>
    </x:row>
    <x:row r="99" ht="22" customHeight="1">
      <x:c r="A99" s="2"/>
      <x:c r="B99" s="2"/>
      <x:c r="C99" s="2"/>
      <x:c r="D99" s="4"/>
      <x:c r="E99" s="4"/>
      <x:c r="F99" s="4"/>
      <x:c r="G99" s="4"/>
    </x:row>
    <x:row r="100" ht="22" customHeight="1">
      <x:c r="A100" s="2"/>
      <x:c r="B100" s="2"/>
      <x:c r="C100" s="2"/>
      <x:c r="D100" s="4"/>
      <x:c r="E100" s="4"/>
      <x:c r="F100" s="4"/>
      <x:c r="G100" s="4"/>
    </x:row>
    <x:row r="101" ht="22" customHeight="1">
      <x:c r="A101" s="2"/>
      <x:c r="B101" s="2"/>
      <x:c r="C101" s="2"/>
      <x:c r="D101" s="4"/>
      <x:c r="E101" s="4"/>
      <x:c r="F101" s="4"/>
      <x:c r="G101" s="4"/>
    </x:row>
    <x:row r="102" ht="22" customHeight="1">
      <x:c r="A102" s="2"/>
      <x:c r="B102" s="2"/>
      <x:c r="C102" s="2"/>
      <x:c r="D102" s="4"/>
      <x:c r="E102" s="4"/>
      <x:c r="F102" s="4"/>
      <x:c r="G102" s="4"/>
    </x:row>
    <x:row r="103" ht="22" customHeight="1">
      <x:c r="A103" s="2"/>
      <x:c r="B103" s="2"/>
      <x:c r="C103" s="2"/>
      <x:c r="D103" s="4"/>
      <x:c r="E103" s="4"/>
      <x:c r="F103" s="4"/>
      <x:c r="G103" s="4"/>
    </x:row>
    <x:row r="104" ht="22" customHeight="1">
      <x:c r="A104" s="2"/>
      <x:c r="B104" s="2"/>
      <x:c r="C104" s="2"/>
      <x:c r="D104" s="4"/>
      <x:c r="E104" s="4"/>
      <x:c r="F104" s="4"/>
      <x:c r="G104" s="4"/>
    </x:row>
    <x:row r="105" ht="22" customHeight="1">
      <x:c r="A105" s="2"/>
      <x:c r="B105" s="2"/>
      <x:c r="C105" s="2"/>
      <x:c r="D105" s="4"/>
      <x:c r="E105" s="4"/>
      <x:c r="F105" s="4"/>
      <x:c r="G105" s="4"/>
    </x:row>
    <x:row r="106" ht="22" customHeight="1">
      <x:c r="A106" s="2"/>
      <x:c r="B106" s="2"/>
      <x:c r="C106" s="2"/>
      <x:c r="D106" s="4"/>
      <x:c r="E106" s="4"/>
      <x:c r="F106" s="4"/>
      <x:c r="G106" s="4"/>
    </x:row>
    <x:row r="107" ht="22" customHeight="1">
      <x:c r="A107" s="2"/>
      <x:c r="B107" s="2"/>
      <x:c r="C107" s="2"/>
      <x:c r="D107" s="4"/>
      <x:c r="E107" s="4"/>
      <x:c r="F107" s="4"/>
      <x:c r="G107" s="4"/>
    </x:row>
    <x:row r="108" ht="22" customHeight="1">
      <x:c r="A108" s="2"/>
      <x:c r="B108" s="2"/>
      <x:c r="C108" s="2"/>
      <x:c r="D108" s="4"/>
      <x:c r="E108" s="4"/>
      <x:c r="F108" s="4"/>
      <x:c r="G108" s="4"/>
    </x:row>
    <x:row r="109" ht="22" customHeight="1">
      <x:c r="A109" s="2"/>
      <x:c r="B109" s="2"/>
      <x:c r="C109" s="2"/>
      <x:c r="D109" s="4"/>
      <x:c r="E109" s="4"/>
      <x:c r="F109" s="4"/>
      <x:c r="G109" s="4"/>
    </x:row>
    <x:row r="110" ht="22" customHeight="1">
      <x:c r="A110" s="2"/>
      <x:c r="B110" s="2"/>
      <x:c r="C110" s="2"/>
      <x:c r="D110" s="4"/>
      <x:c r="E110" s="4"/>
      <x:c r="F110" s="4"/>
      <x:c r="G110" s="4"/>
    </x:row>
    <x:row r="111" ht="22" customHeight="1">
      <x:c r="A111" s="2"/>
      <x:c r="B111" s="2"/>
      <x:c r="C111" s="2"/>
      <x:c r="D111" s="4"/>
      <x:c r="E111" s="4"/>
      <x:c r="F111" s="4"/>
      <x:c r="G111" s="4"/>
    </x:row>
    <x:row r="112" ht="22" customHeight="1">
      <x:c r="A112" s="2"/>
      <x:c r="B112" s="2"/>
      <x:c r="C112" s="2"/>
      <x:c r="D112" s="4"/>
      <x:c r="E112" s="4"/>
      <x:c r="F112" s="4"/>
      <x:c r="G112" s="4"/>
    </x:row>
  </x:sheetData>
  <x:dataValidations count="5">
    <x:dataValidation type="list" sqref="D4">
      <x:formula1>"1,2,3,4"</x:formula1>
    </x:dataValidation>
    <x:dataValidation type="whole" operator="between" sqref="D14:E14">
      <x:formula1>1</x:formula1>
      <x:formula2>2</x:formula2>
    </x:dataValidation>
    <x:dataValidation type="whole" operator="between" sqref="D15:E15">
      <x:formula1>1</x:formula1>
      <x:formula2>2</x:formula2>
    </x:dataValidation>
    <x:dataValidation type="whole" operator="between" sqref="D24:E24">
      <x:formula1>0</x:formula1>
      <x:formula2>2</x:formula2>
    </x:dataValidation>
    <x:dataValidation type="whole" operator="between" sqref="D25:E25">
      <x:formula1>0</x:formula1>
      <x:formula2>2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57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22" customHeight="1">
      <x:c r="A2" s="2"/>
      <x:c r="B2" s="2"/>
      <x:c r="C2" s="3" t="str">
        <x:v>Economics per outcome pass</x:v>
      </x:c>
      <x:c r="D2" s="2"/>
      <x:c r="E2" s="2"/>
      <x:c r="F2" s="2"/>
      <x:c r="G2" s="2"/>
      <x:c r="H2" s="2"/>
    </x:row>
    <x:row r="3" ht="22" customHeight="1">
      <x:c r="A3" s="2"/>
      <x:c r="B3" s="2"/>
      <x:c r="C3" s="2"/>
      <x:c r="D3" s="2"/>
      <x:c r="E3" s="2"/>
      <x:c r="F3" s="2"/>
      <x:c r="G3" s="2"/>
      <x:c r="H3" s="2"/>
    </x:row>
    <x:row r="4" ht="22" customHeight="1">
      <x:c r="A4" s="2"/>
      <x:c r="B4" s="2"/>
      <x:c r="C4" s="2" t="str">
        <x:v>Case selected</x:v>
      </x:c>
      <x:c r="D4" s="18" t="str">
        <x:f>CHOOSE('Inputs'!$D$4,"Native base","Native early","Zero sales","Pilot")</x:f>
        <x:v>Native base</x:v>
      </x:c>
      <x:c r="E4" s="2"/>
      <x:c r="F4" s="2"/>
      <x:c r="G4" s="2"/>
      <x:c r="H4" s="2"/>
    </x:row>
    <x:row r="5" ht="22" customHeight="1">
      <x:c r="A5" s="2"/>
      <x:c r="B5" s="2"/>
      <x:c r="C5" s="2"/>
      <x:c r="D5" s="2"/>
      <x:c r="E5" s="2"/>
      <x:c r="F5" s="2"/>
      <x:c r="G5" s="2"/>
      <x:c r="H5" s="2"/>
    </x:row>
    <x:row r="6" ht="22" customHeight="1">
      <x:c r="A6" s="2"/>
      <x:c r="B6" s="2"/>
      <x:c r="C6" s="2"/>
      <x:c r="D6" s="2"/>
      <x:c r="E6" s="2"/>
      <x:c r="F6" s="2"/>
      <x:c r="G6" s="2"/>
      <x:c r="H6" s="2"/>
    </x:row>
    <x:row r="7" ht="27" customHeight="1">
      <x:c r="A7" s="2"/>
      <x:c r="B7" s="2"/>
      <x:c r="C7" s="9" t="str">
        <x:v>USD per gross buyer</x:v>
      </x:c>
      <x:c r="D7" s="9" t="str">
        <x:v>Work return C2</x:v>
      </x:c>
      <x:c r="E7" s="9" t="str">
        <x:v>Active trip C3</x:v>
      </x:c>
      <x:c r="F7" s="2"/>
      <x:c r="G7" s="2"/>
      <x:c r="H7" s="2"/>
    </x:row>
    <x:row r="8" ht="22" customHeight="1">
      <x:c r="A8" s="2"/>
      <x:c r="B8" s="2"/>
      <x:c r="C8" s="2" t="str">
        <x:v>Gross price</x:v>
      </x:c>
      <x:c r="D8" s="19" t="n">
        <x:f>'Inputs'!D10</x:f>
        <x:v>149</x:v>
      </x:c>
      <x:c r="E8" s="19" t="n">
        <x:f>'Inputs'!E10</x:f>
        <x:v>199</x:v>
      </x:c>
      <x:c r="F8" s="4"/>
      <x:c r="G8" s="4"/>
      <x:c r="H8" s="4"/>
    </x:row>
    <x:row r="9" ht="22" customHeight="1">
      <x:c r="A9" s="2"/>
      <x:c r="B9" s="2"/>
      <x:c r="C9" s="2" t="str">
        <x:v>Expected refunds</x:v>
      </x:c>
      <x:c r="D9" s="19" t="n">
        <x:f>D8*'Inputs'!D16</x:f>
        <x:v>11.92</x:v>
      </x:c>
      <x:c r="E9" s="19" t="n">
        <x:f>E8*'Inputs'!E16</x:f>
        <x:v>15.92</x:v>
      </x:c>
      <x:c r="F9" s="4"/>
      <x:c r="G9" s="4"/>
      <x:c r="H9" s="4"/>
    </x:row>
    <x:row r="10" ht="22" customHeight="1">
      <x:c r="A10" s="2"/>
      <x:c r="B10" s="2"/>
      <x:c r="C10" s="2" t="str">
        <x:v>Payment fees</x:v>
      </x:c>
      <x:c r="D10" s="19" t="n">
        <x:f>IF('Inputs'!D20=1,(D8-D9)*'Inputs'!D17,D8*'Inputs'!D18+'Inputs'!D19)</x:f>
        <x:v>20.562</x:v>
      </x:c>
      <x:c r="E10" s="19" t="n">
        <x:f>IF('Inputs'!E20=1,(E8-E9)*'Inputs'!E17,E8*'Inputs'!E18+'Inputs'!E19)</x:f>
        <x:v>27.462</x:v>
      </x:c>
      <x:c r="F10" s="4"/>
      <x:c r="G10" s="4"/>
      <x:c r="H10" s="4"/>
    </x:row>
    <x:row r="11" ht="22" customHeight="1">
      <x:c r="A11" s="2"/>
      <x:c r="B11" s="2"/>
      <x:c r="C11" s="2" t="str">
        <x:v>Net sales after refunds and fees</x:v>
      </x:c>
      <x:c r="D11" s="4" t="n">
        <x:f>D8-SUM(D9:D10)</x:f>
        <x:v>116.518</x:v>
      </x:c>
      <x:c r="E11" s="4" t="n">
        <x:f>E8-SUM(E9:E10)</x:f>
        <x:v>155.618</x:v>
      </x:c>
      <x:c r="F11" s="4"/>
      <x:c r="G11" s="4"/>
      <x:c r="H11" s="4"/>
    </x:row>
    <x:row r="12" ht="22" customHeight="1">
      <x:c r="A12" s="2"/>
      <x:c r="B12" s="2"/>
      <x:c r="C12" s="2"/>
      <x:c r="D12" s="4"/>
      <x:c r="E12" s="4"/>
      <x:c r="F12" s="4"/>
      <x:c r="G12" s="4"/>
      <x:c r="H12" s="4"/>
    </x:row>
    <x:row r="13" ht="22" customHeight="1">
      <x:c r="A13" s="2"/>
      <x:c r="B13" s="2"/>
      <x:c r="C13" s="2" t="str">
        <x:v>Expert delivery cost</x:v>
      </x:c>
      <x:c r="D13" s="19" t="n">
        <x:f>'Inputs'!D27/60*'Inputs'!D30</x:f>
        <x:v>30</x:v>
      </x:c>
      <x:c r="E13" s="19" t="n">
        <x:f>'Inputs'!E27/60*'Inputs'!E30</x:f>
        <x:v>60</x:v>
      </x:c>
      <x:c r="F13" s="4"/>
      <x:c r="G13" s="4"/>
      <x:c r="H13" s="4"/>
    </x:row>
    <x:row r="14" ht="22" customHeight="1">
      <x:c r="A14" s="2"/>
      <x:c r="B14" s="2"/>
      <x:c r="C14" s="2" t="str">
        <x:v>Support delivery cost</x:v>
      </x:c>
      <x:c r="D14" s="19" t="n">
        <x:f>'Inputs'!D31/60*'Inputs'!D34</x:f>
        <x:v>7.5</x:v>
      </x:c>
      <x:c r="E14" s="19" t="n">
        <x:f>'Inputs'!E31/60*'Inputs'!E34</x:f>
        <x:v>15</x:v>
      </x:c>
      <x:c r="F14" s="4"/>
      <x:c r="G14" s="4"/>
      <x:c r="H14" s="4"/>
    </x:row>
    <x:row r="15" ht="22" customHeight="1">
      <x:c r="A15" s="2"/>
      <x:c r="B15" s="2"/>
      <x:c r="C15" s="2" t="str">
        <x:v>AI budget</x:v>
      </x:c>
      <x:c r="D15" s="19" t="n">
        <x:f>'Inputs'!D35</x:f>
        <x:v>2</x:v>
      </x:c>
      <x:c r="E15" s="19" t="n">
        <x:f>'Inputs'!E35</x:f>
        <x:v>3</x:v>
      </x:c>
      <x:c r="F15" s="4"/>
      <x:c r="G15" s="4"/>
      <x:c r="H15" s="4"/>
    </x:row>
    <x:row r="16" ht="22" customHeight="1">
      <x:c r="A16" s="2"/>
      <x:c r="B16" s="2"/>
      <x:c r="C16" s="2" t="str">
        <x:v>Infrastructure</x:v>
      </x:c>
      <x:c r="D16" s="19" t="n">
        <x:f>'Inputs'!D36</x:f>
        <x:v>1.5</x:v>
      </x:c>
      <x:c r="E16" s="19" t="n">
        <x:f>'Inputs'!E36</x:f>
        <x:v>2</x:v>
      </x:c>
      <x:c r="F16" s="4"/>
      <x:c r="G16" s="4"/>
      <x:c r="H16" s="4"/>
    </x:row>
    <x:row r="17" ht="22" customHeight="1">
      <x:c r="A17" s="2"/>
      <x:c r="B17" s="2"/>
      <x:c r="C17" s="2" t="str">
        <x:v>Content license</x:v>
      </x:c>
      <x:c r="D17" s="19" t="n">
        <x:f>'Inputs'!D37</x:f>
        <x:v>5</x:v>
      </x:c>
      <x:c r="E17" s="19" t="n">
        <x:f>'Inputs'!E37</x:f>
        <x:v>8</x:v>
      </x:c>
      <x:c r="F17" s="4"/>
      <x:c r="G17" s="4"/>
      <x:c r="H17" s="4"/>
    </x:row>
    <x:row r="18" ht="22" customHeight="1">
      <x:c r="A18" s="2"/>
      <x:c r="B18" s="2"/>
      <x:c r="C18" s="2" t="str">
        <x:v>Full variable delivery cost</x:v>
      </x:c>
      <x:c r="D18" s="4" t="n">
        <x:f>SUM(D13:D17)</x:f>
        <x:v>46</x:v>
      </x:c>
      <x:c r="E18" s="4" t="n">
        <x:f>SUM(E13:E17)</x:f>
        <x:v>88</x:v>
      </x:c>
      <x:c r="F18" s="4"/>
      <x:c r="G18" s="4"/>
      <x:c r="H18" s="4"/>
    </x:row>
    <x:row r="19" ht="22" customHeight="1">
      <x:c r="A19" s="2"/>
      <x:c r="B19" s="2"/>
      <x:c r="C19" s="2"/>
      <x:c r="D19" s="4"/>
      <x:c r="E19" s="4"/>
      <x:c r="F19" s="4"/>
      <x:c r="G19" s="4"/>
      <x:c r="H19" s="4"/>
    </x:row>
    <x:row r="20" ht="22" customHeight="1">
      <x:c r="A20" s="2"/>
      <x:c r="B20" s="2"/>
      <x:c r="C20" s="2" t="str">
        <x:v>Contribution before acquisition</x:v>
      </x:c>
      <x:c r="D20" s="4" t="n">
        <x:f>D11-D18</x:f>
        <x:v>70.518</x:v>
      </x:c>
      <x:c r="E20" s="4" t="n">
        <x:f>E11-E18</x:f>
        <x:v>67.618</x:v>
      </x:c>
      <x:c r="F20" s="4"/>
      <x:c r="G20" s="4"/>
      <x:c r="H20" s="4"/>
    </x:row>
    <x:row r="21" ht="22" customHeight="1">
      <x:c r="A21" s="2"/>
      <x:c r="B21" s="2"/>
      <x:c r="C21" s="2" t="str">
        <x:v>Acquisition cost</x:v>
      </x:c>
      <x:c r="D21" s="19" t="n">
        <x:f>'Inputs'!D38</x:f>
        <x:v>30</x:v>
      </x:c>
      <x:c r="E21" s="19" t="n">
        <x:f>'Inputs'!E38</x:f>
        <x:v>40</x:v>
      </x:c>
      <x:c r="F21" s="4"/>
      <x:c r="G21" s="4"/>
      <x:c r="H21" s="4"/>
    </x:row>
    <x:row r="22" ht="22" customHeight="1">
      <x:c r="A22" s="2"/>
      <x:c r="B22" s="2"/>
      <x:c r="C22" s="2" t="str">
        <x:v>Contribution after acquisition</x:v>
      </x:c>
      <x:c r="D22" s="4" t="n">
        <x:f>D20-D21</x:f>
        <x:v>40.518</x:v>
      </x:c>
      <x:c r="E22" s="4" t="n">
        <x:f>E20-E21</x:f>
        <x:v>27.617999999999995</x:v>
      </x:c>
      <x:c r="F22" s="4"/>
      <x:c r="G22" s="4"/>
      <x:c r="H22" s="4"/>
    </x:row>
    <x:row r="23" ht="22" customHeight="1">
      <x:c r="A23" s="2"/>
      <x:c r="B23" s="2"/>
      <x:c r="C23" s="2" t="str">
        <x:v>Contribution / gross price</x:v>
      </x:c>
      <x:c r="D23" s="20" t="n">
        <x:f>D22/D8</x:f>
        <x:v>0.27193288590604026</x:v>
      </x:c>
      <x:c r="E23" s="20" t="n">
        <x:f>E22/E8</x:f>
        <x:v>0.1387839195979899</x:v>
      </x:c>
      <x:c r="F23" s="4"/>
      <x:c r="G23" s="4"/>
      <x:c r="H23" s="4"/>
    </x:row>
    <x:row r="24" ht="22" customHeight="1">
      <x:c r="A24" s="2"/>
      <x:c r="B24" s="2"/>
      <x:c r="C24" s="2"/>
      <x:c r="D24" s="4"/>
      <x:c r="E24" s="4"/>
      <x:c r="F24" s="4"/>
      <x:c r="G24" s="4"/>
      <x:c r="H24" s="4"/>
    </x:row>
    <x:row r="25" ht="22" customHeight="1">
      <x:c r="A25" s="2"/>
      <x:c r="B25" s="2"/>
      <x:c r="C25" s="2" t="str">
        <x:v>Variable cost in sale month</x:v>
      </x:c>
      <x:c r="D25" s="19" t="n">
        <x:f>D18*('Inputs'!D26+(1-'Inputs'!D26)/'Inputs'!D13)</x:f>
        <x:v>46</x:v>
      </x:c>
      <x:c r="E25" s="19" t="n">
        <x:f>E18*('Inputs'!E26+(1-'Inputs'!E26)/'Inputs'!E13)</x:f>
        <x:v>66</x:v>
      </x:c>
      <x:c r="F25" s="4"/>
      <x:c r="G25" s="4"/>
      <x:c r="H25" s="4"/>
    </x:row>
    <x:row r="26" ht="22" customHeight="1">
      <x:c r="A26" s="2"/>
      <x:c r="B26" s="2"/>
      <x:c r="C26" s="2" t="str">
        <x:v>Remaining delivery cost after sale month</x:v>
      </x:c>
      <x:c r="D26" s="4" t="n">
        <x:f>D18-D25</x:f>
        <x:v>0</x:v>
      </x:c>
      <x:c r="E26" s="4" t="n">
        <x:f>E18-E25</x:f>
        <x:v>22</x:v>
      </x:c>
      <x:c r="F26" s="4"/>
      <x:c r="G26" s="4"/>
      <x:c r="H26" s="4"/>
    </x:row>
    <x:row r="27" ht="22" customHeight="1">
      <x:c r="A27" s="2"/>
      <x:c r="B27" s="2"/>
      <x:c r="C27" s="2"/>
      <x:c r="D27" s="4"/>
      <x:c r="E27" s="4"/>
      <x:c r="F27" s="4"/>
      <x:c r="G27" s="4"/>
      <x:c r="H27" s="4"/>
    </x:row>
    <x:row r="28" ht="22" customHeight="1">
      <x:c r="A28" s="2"/>
      <x:c r="B28" s="2"/>
      <x:c r="C28" s="2" t="str">
        <x:v>Mature monthly buyers to cover fixed costs</x:v>
      </x:c>
      <x:c r="D28" s="21" t="n">
        <x:f>IF(D22&lt;=0,"n.a.",ROUNDUP('Inputs'!D42/D22,0))</x:f>
        <x:v>25</x:v>
      </x:c>
      <x:c r="E28" s="21" t="n">
        <x:f>IF(E22&lt;=0,"n.a.",ROUNDUP('Inputs'!E42/E22,0))</x:f>
        <x:v>55</x:v>
      </x:c>
      <x:c r="F28" s="4"/>
      <x:c r="G28" s="4"/>
      <x:c r="H28" s="4"/>
    </x:row>
    <x:row r="29" ht="22" customHeight="1">
      <x:c r="A29" s="2"/>
      <x:c r="B29" s="2"/>
      <x:c r="C29" s="2" t="str">
        <x:v>Mature monthly buyers incl founder draw</x:v>
      </x:c>
      <x:c r="D29" s="21" t="n">
        <x:f>IF(D22&lt;=0,"n.a.",ROUNDUP(('Inputs'!D42+'Inputs'!D43)/D22,0))</x:f>
        <x:v>99</x:v>
      </x:c>
      <x:c r="E29" s="21" t="n">
        <x:f>IF(E22&lt;=0,"n.a.",ROUNDUP(('Inputs'!E42+'Inputs'!E43)/E22,0))</x:f>
        <x:v>163</x:v>
      </x:c>
      <x:c r="F29" s="4"/>
      <x:c r="G29" s="4"/>
      <x:c r="H29" s="4"/>
    </x:row>
    <x:row r="30" ht="22" customHeight="1">
      <x:c r="A30" s="2"/>
      <x:c r="B30" s="2"/>
      <x:c r="C30" s="2" t="str">
        <x:v>Fully settled buyers to cover Q4/startup/draw</x:v>
      </x:c>
      <x:c r="D30" s="21" t="n">
        <x:f>IF(D22&lt;=0,"n.a.",ROUNDUP(('Inputs'!D41+3*('Inputs'!D42+'Inputs'!D43))/D22,0))</x:f>
        <x:v>494</x:v>
      </x:c>
      <x:c r="E30" s="21" t="n">
        <x:f>IF(E22&lt;=0,"n.a.",ROUNDUP(('Inputs'!E41+3*('Inputs'!E42+'Inputs'!E43))/E22,0))</x:f>
        <x:v>924</x:v>
      </x:c>
      <x:c r="F30" s="4"/>
      <x:c r="G30" s="4"/>
      <x:c r="H30" s="4"/>
    </x:row>
    <x:row r="31" ht="22" customHeight="1">
      <x:c r="A31" s="2"/>
      <x:c r="B31" s="2"/>
      <x:c r="C31" s="2"/>
      <x:c r="D31" s="4"/>
      <x:c r="E31" s="4"/>
      <x:c r="F31" s="4"/>
      <x:c r="G31" s="4"/>
      <x:c r="H31" s="4"/>
    </x:row>
    <x:row r="32" ht="22" customHeight="1">
      <x:c r="A32" s="2"/>
      <x:c r="B32" s="2"/>
      <x:c r="C32" s="2" t="str">
        <x:v>Maximum CAC before fixed costs</x:v>
      </x:c>
      <x:c r="D32" s="4" t="n">
        <x:f>D20</x:f>
        <x:v>70.518</x:v>
      </x:c>
      <x:c r="E32" s="4" t="n">
        <x:f>E20</x:f>
        <x:v>67.618</x:v>
      </x:c>
      <x:c r="F32" s="4"/>
      <x:c r="G32" s="4"/>
      <x:c r="H32" s="4"/>
    </x:row>
    <x:row r="33" ht="22" customHeight="1">
      <x:c r="A33" s="2"/>
      <x:c r="B33" s="2"/>
      <x:c r="C33" s="2" t="str">
        <x:v>Maximum CAC at Q4 volume, fully settled</x:v>
      </x:c>
      <x:c r="D33" s="19" t="n">
        <x:f>IF(SUM('Inputs'!D45,'Inputs'!D50,'Inputs'!D55)=0,"n.a.",D20-('Inputs'!D41+3*('Inputs'!D42+'Inputs'!D43))/SUM('Inputs'!D45,'Inputs'!D50,'Inputs'!D55))</x:f>
        <x:v>-96.14866666666666</x:v>
      </x:c>
      <x:c r="E33" s="19" t="n">
        <x:f>IF(SUM('Inputs'!E45,'Inputs'!E50,'Inputs'!E55)=0,"n.a.",E20-('Inputs'!E41+3*('Inputs'!E42+'Inputs'!E43))/SUM('Inputs'!E45,'Inputs'!E50,'Inputs'!E55))</x:f>
        <x:v>-144.882</x:v>
      </x:c>
      <x:c r="F33" s="4"/>
      <x:c r="G33" s="4"/>
      <x:c r="H33" s="4"/>
    </x:row>
    <x:row r="34" ht="22" customHeight="1">
      <x:c r="A34" s="2"/>
      <x:c r="B34" s="2"/>
      <x:c r="C34" s="2"/>
      <x:c r="D34" s="4"/>
      <x:c r="E34" s="4"/>
      <x:c r="F34" s="4"/>
      <x:c r="G34" s="4"/>
      <x:c r="H34" s="4"/>
    </x:row>
    <x:row r="35" ht="22" customHeight="1">
      <x:c r="A35" s="2"/>
      <x:c r="B35" s="2"/>
      <x:c r="C35" s="2" t="str">
        <x:v>Expected contribution including one possible repeat</x:v>
      </x:c>
      <x:c r="D35" s="19" t="n">
        <x:f>D22*(1+'Inputs'!D44)</x:f>
        <x:v>40.518</x:v>
      </x:c>
      <x:c r="E35" s="19" t="n">
        <x:f>E22*(1+'Inputs'!E44)</x:f>
        <x:v>27.617999999999995</x:v>
      </x:c>
      <x:c r="F35" s="4"/>
      <x:c r="G35" s="4"/>
      <x:c r="H35" s="4"/>
    </x:row>
    <x:row r="36" ht="22" customHeight="1">
      <x:c r="A36" s="2"/>
      <x:c r="B36" s="2"/>
      <x:c r="C36" s="2"/>
      <x:c r="D36" s="4"/>
      <x:c r="E36" s="4"/>
      <x:c r="F36" s="4"/>
      <x:c r="G36" s="4"/>
      <x:c r="H36" s="4"/>
    </x:row>
    <x:row r="37" ht="22" customHeight="1">
      <x:c r="A37" s="2"/>
      <x:c r="B37" s="2"/>
      <x:c r="C37" s="2"/>
      <x:c r="D37" s="4"/>
      <x:c r="E37" s="4"/>
      <x:c r="F37" s="4"/>
      <x:c r="G37" s="4"/>
      <x:c r="H37" s="4"/>
    </x:row>
    <x:row r="38" ht="22" customHeight="1">
      <x:c r="A38" s="2"/>
      <x:c r="B38" s="2"/>
      <x:c r="C38" s="6" t="str">
        <x:v>Mature break-even assumes all delivery completed and collections received. It is not a deadline forecast.</x:v>
      </x:c>
      <x:c r="D38" s="4"/>
      <x:c r="E38" s="4"/>
      <x:c r="F38" s="4"/>
      <x:c r="G38" s="4"/>
      <x:c r="H38" s="4"/>
    </x:row>
    <x:row r="39" ht="22" customHeight="1">
      <x:c r="A39" s="2"/>
      <x:c r="B39" s="2"/>
      <x:c r="C39" s="6" t="str">
        <x:v>Repeat sensitivity allows at most one speculative extra purchase, with no CAC saving. It is outside Q4 cash.</x:v>
      </x:c>
      <x:c r="D39" s="4"/>
      <x:c r="E39" s="4"/>
      <x:c r="F39" s="4"/>
      <x:c r="G39" s="4"/>
      <x:c r="H39" s="4"/>
    </x:row>
    <x:row r="40" ht="22" customHeight="1">
      <x:c r="A40" s="2"/>
      <x:c r="B40" s="2"/>
      <x:c r="C40" s="6" t="str">
        <x:v>Refunded buyers retain full variable delivery costs and acquisition expense in every case.</x:v>
      </x:c>
      <x:c r="D40" s="4"/>
      <x:c r="E40" s="4"/>
      <x:c r="F40" s="4"/>
      <x:c r="G40" s="4"/>
      <x:c r="H40" s="4"/>
    </x:row>
    <x:row r="41" ht="22" customHeight="1">
      <x:c r="A41" s="2"/>
      <x:c r="B41" s="2"/>
      <x:c r="C41" s="2"/>
      <x:c r="D41" s="4"/>
      <x:c r="E41" s="4"/>
      <x:c r="F41" s="4"/>
      <x:c r="G41" s="4"/>
      <x:c r="H41" s="4"/>
    </x:row>
    <x:row r="42" ht="22" customHeight="1">
      <x:c r="A42" s="2"/>
      <x:c r="B42" s="2"/>
      <x:c r="C42" s="2"/>
      <x:c r="D42" s="4"/>
      <x:c r="E42" s="4"/>
      <x:c r="F42" s="4"/>
      <x:c r="G42" s="4"/>
      <x:c r="H42" s="4"/>
    </x:row>
    <x:row r="43" ht="22" customHeight="1">
      <x:c r="A43" s="2"/>
      <x:c r="B43" s="2"/>
      <x:c r="C43" s="2"/>
      <x:c r="D43" s="4"/>
      <x:c r="E43" s="4"/>
      <x:c r="F43" s="4"/>
      <x:c r="G43" s="4"/>
      <x:c r="H43" s="4"/>
    </x:row>
    <x:row r="44" ht="22" customHeight="1">
      <x:c r="A44" s="2"/>
      <x:c r="B44" s="2"/>
      <x:c r="C44" s="2"/>
      <x:c r="D44" s="4"/>
      <x:c r="E44" s="4"/>
      <x:c r="F44" s="4"/>
      <x:c r="G44" s="4"/>
      <x:c r="H44" s="4"/>
    </x:row>
    <x:row r="45" ht="22" customHeight="1">
      <x:c r="A45" s="2"/>
      <x:c r="B45" s="2"/>
      <x:c r="C45" s="2"/>
      <x:c r="D45" s="4"/>
      <x:c r="E45" s="4"/>
      <x:c r="F45" s="4"/>
      <x:c r="G45" s="4"/>
      <x:c r="H45" s="4"/>
    </x:row>
    <x:row r="46" ht="22" customHeight="1">
      <x:c r="A46" s="2"/>
      <x:c r="B46" s="2"/>
      <x:c r="C46" s="2"/>
      <x:c r="D46" s="4"/>
      <x:c r="E46" s="4"/>
      <x:c r="F46" s="4"/>
      <x:c r="G46" s="4"/>
      <x:c r="H46" s="4"/>
    </x:row>
    <x:row r="47" ht="22" customHeight="1">
      <x:c r="A47" s="2"/>
      <x:c r="B47" s="2"/>
      <x:c r="C47" s="2"/>
      <x:c r="D47" s="4"/>
      <x:c r="E47" s="4"/>
      <x:c r="F47" s="4"/>
      <x:c r="G47" s="4"/>
      <x:c r="H47" s="4"/>
    </x:row>
    <x:row r="48" ht="22" customHeight="1">
      <x:c r="A48" s="2"/>
      <x:c r="B48" s="2"/>
      <x:c r="C48" s="2"/>
      <x:c r="D48" s="4"/>
      <x:c r="E48" s="4"/>
      <x:c r="F48" s="4"/>
      <x:c r="G48" s="4"/>
      <x:c r="H48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57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22" customHeight="1">
      <x:c r="A2" s="2"/>
      <x:c r="B2" s="2"/>
      <x:c r="C2" s="3" t="str">
        <x:v>Monthly earned results and collected cash</x:v>
      </x:c>
      <x:c r="D2" s="2"/>
      <x:c r="E2" s="2"/>
      <x:c r="F2" s="2"/>
      <x:c r="G2" s="2"/>
      <x:c r="H2" s="2"/>
    </x:row>
    <x:row r="3" ht="22" customHeight="1">
      <x:c r="A3" s="2"/>
      <x:c r="B3" s="2"/>
      <x:c r="C3" s="2"/>
      <x:c r="D3" s="2"/>
      <x:c r="E3" s="2"/>
      <x:c r="F3" s="2"/>
      <x:c r="G3" s="2"/>
      <x:c r="H3" s="2"/>
    </x:row>
    <x:row r="4" ht="22" customHeight="1">
      <x:c r="A4" s="2"/>
      <x:c r="B4" s="2"/>
      <x:c r="C4" s="2" t="str">
        <x:v>Case selected</x:v>
      </x:c>
      <x:c r="D4" s="18" t="str">
        <x:f>CHOOSE('Inputs'!$D$4,"Native base","Native early","Zero sales","Pilot")</x:f>
        <x:v>Native base</x:v>
      </x:c>
      <x:c r="E4" s="2"/>
      <x:c r="F4" s="2"/>
      <x:c r="G4" s="2"/>
      <x:c r="H4" s="2"/>
    </x:row>
    <x:row r="5" ht="22" customHeight="1">
      <x:c r="A5" s="2"/>
      <x:c r="B5" s="2"/>
      <x:c r="C5" s="2"/>
      <x:c r="D5" s="2"/>
      <x:c r="E5" s="2"/>
      <x:c r="F5" s="2"/>
      <x:c r="G5" s="2"/>
      <x:c r="H5" s="2"/>
    </x:row>
    <x:row r="6" ht="22" customHeight="1">
      <x:c r="A6" s="2"/>
      <x:c r="B6" s="2"/>
      <x:c r="C6" s="2"/>
      <x:c r="D6" s="2"/>
      <x:c r="E6" s="2"/>
      <x:c r="F6" s="2"/>
      <x:c r="G6" s="2"/>
      <x:c r="H6" s="2"/>
    </x:row>
    <x:row r="7" ht="22" customHeight="1">
      <x:c r="A7" s="2"/>
      <x:c r="B7" s="2"/>
      <x:c r="C7" s="13"/>
      <x:c r="D7" s="23" t="n">
        <x:v>46296.5</x:v>
      </x:c>
      <x:c r="E7" s="23" t="n">
        <x:v>46327.5</x:v>
      </x:c>
      <x:c r="F7" s="23" t="n">
        <x:v>46357.5</x:v>
      </x:c>
      <x:c r="G7" s="23" t="n">
        <x:v>46388.5</x:v>
      </x:c>
      <x:c r="H7" s="23" t="n">
        <x:v>46419.5</x:v>
      </x:c>
    </x:row>
    <x:row r="8" ht="22" customHeight="1">
      <x:c r="A8" s="2"/>
      <x:c r="B8" s="2"/>
      <x:c r="C8" s="2"/>
      <x:c r="D8" s="4"/>
      <x:c r="E8" s="4"/>
      <x:c r="F8" s="4"/>
      <x:c r="G8" s="4"/>
      <x:c r="H8" s="4"/>
    </x:row>
    <x:row r="9" ht="22" customHeight="1">
      <x:c r="A9" s="2"/>
      <x:c r="B9" s="2"/>
      <x:c r="C9" s="24" t="str">
        <x:v>Work return C2</x:v>
      </x:c>
      <x:c r="D9" s="25"/>
      <x:c r="E9" s="25"/>
      <x:c r="F9" s="25"/>
      <x:c r="G9" s="25"/>
      <x:c r="H9" s="25"/>
    </x:row>
    <x:row r="10" ht="22" customHeight="1">
      <x:c r="A10" s="2"/>
      <x:c r="B10" s="2"/>
      <x:c r="C10" s="2" t="str">
        <x:v>Gross buyers</x:v>
      </x:c>
      <x:c r="D10" s="21" t="n">
        <x:f>'Inputs'!D45</x:f>
        <x:v>0</x:v>
      </x:c>
      <x:c r="E10" s="21" t="n">
        <x:f>'Inputs'!D50</x:f>
        <x:v>40</x:v>
      </x:c>
      <x:c r="F10" s="21" t="n">
        <x:f>'Inputs'!D55</x:f>
        <x:v>80</x:v>
      </x:c>
      <x:c r="G10" s="26" t="n">
        <x:f>0</x:f>
        <x:v>0</x:v>
      </x:c>
      <x:c r="H10" s="26" t="n">
        <x:f>0</x:f>
        <x:v>0</x:v>
      </x:c>
    </x:row>
    <x:row r="11" ht="22" customHeight="1">
      <x:c r="A11" s="2"/>
      <x:c r="B11" s="2"/>
      <x:c r="C11" s="2" t="str">
        <x:v>Net sales booked after refunds and fees</x:v>
      </x:c>
      <x:c r="D11" s="19" t="n">
        <x:f>D10*'Unit economics'!D11</x:f>
        <x:v>0</x:v>
      </x:c>
      <x:c r="E11" s="19" t="n">
        <x:f>E10*'Unit economics'!D11</x:f>
        <x:v>4660.72</x:v>
      </x:c>
      <x:c r="F11" s="19" t="n">
        <x:f>F10*'Unit economics'!D11</x:f>
        <x:v>9321.44</x:v>
      </x:c>
      <x:c r="G11" s="19" t="n">
        <x:f>G10*'Unit economics'!D11</x:f>
        <x:v>0</x:v>
      </x:c>
      <x:c r="H11" s="19" t="n">
        <x:f>H10*'Unit economics'!D11</x:f>
        <x:v>0</x:v>
      </x:c>
    </x:row>
    <x:row r="12" ht="22" customHeight="1">
      <x:c r="A12" s="2"/>
      <x:c r="B12" s="2"/>
      <x:c r="C12" s="2" t="str">
        <x:v>Net service revenue earned</x:v>
      </x:c>
      <x:c r="D12" s="19" t="n">
        <x:f>(IF('Inputs'!D13&gt;0,D10,0))*'Unit economics'!D11/'Inputs'!D13</x:f>
        <x:v>0</x:v>
      </x:c>
      <x:c r="E12" s="19" t="n">
        <x:f>(IF('Inputs'!D13&gt;1,D10,0)+IF('Inputs'!D13&gt;0,E10,0))*'Unit economics'!D11/'Inputs'!D13</x:f>
        <x:v>4660.72</x:v>
      </x:c>
      <x:c r="F12" s="19" t="n">
        <x:f>(IF('Inputs'!D13&gt;2,D10,0)+IF('Inputs'!D13&gt;1,E10,0)+IF('Inputs'!D13&gt;0,F10,0))*'Unit economics'!D11/'Inputs'!D13</x:f>
        <x:v>9321.44</x:v>
      </x:c>
      <x:c r="G12" s="19" t="n">
        <x:f>(IF('Inputs'!D13&gt;3,D10,0)+IF('Inputs'!D13&gt;2,E10,0)+IF('Inputs'!D13&gt;1,F10,0)+IF('Inputs'!D13&gt;0,G10,0))*'Unit economics'!D11/'Inputs'!D13</x:f>
        <x:v>0</x:v>
      </x:c>
      <x:c r="H12" s="19" t="n">
        <x:f>(IF('Inputs'!D13&gt;4,D10,0)+IF('Inputs'!D13&gt;3,E10,0)+IF('Inputs'!D13&gt;2,F10,0)+IF('Inputs'!D13&gt;1,G10,0)+IF('Inputs'!D13&gt;0,H10,0))*'Unit economics'!D11/'Inputs'!D13</x:f>
        <x:v>0</x:v>
      </x:c>
    </x:row>
    <x:row r="13" ht="22" customHeight="1">
      <x:c r="A13" s="2"/>
      <x:c r="B13" s="2"/>
      <x:c r="C13" s="2" t="str">
        <x:v>Cash collections</x:v>
      </x:c>
      <x:c r="D13" s="19" t="n">
        <x:f>IF('Inputs'!D23=0,D11,0)</x:f>
        <x:v>0</x:v>
      </x:c>
      <x:c r="E13" s="19" t="n">
        <x:f>IF('Inputs'!D23=1,D11,0)+IF('Inputs'!D23=0,E11,0)</x:f>
        <x:v>0</x:v>
      </x:c>
      <x:c r="F13" s="19" t="n">
        <x:f>IF('Inputs'!D23=2,D11,0)+IF('Inputs'!D23=1,E11,0)+IF('Inputs'!D23=0,F11,0)</x:f>
        <x:v>0</x:v>
      </x:c>
      <x:c r="G13" s="19" t="n">
        <x:f>IF('Inputs'!D23=3,D11,0)+IF('Inputs'!D23=2,E11,0)+IF('Inputs'!D23=1,F11,0)+IF('Inputs'!D23=0,G11,0)</x:f>
        <x:v>4660.72</x:v>
      </x:c>
      <x:c r="H13" s="19" t="n">
        <x:f>IF('Inputs'!D23=4,D11,0)+IF('Inputs'!D23=3,E11,0)+IF('Inputs'!D23=2,F11,0)+IF('Inputs'!D23=1,G11,0)+IF('Inputs'!D23=0,H11,0)</x:f>
        <x:v>9321.44</x:v>
      </x:c>
    </x:row>
    <x:row r="14" ht="22" customHeight="1">
      <x:c r="A14" s="2"/>
      <x:c r="B14" s="2"/>
      <x:c r="C14" s="2"/>
      <x:c r="D14" s="4"/>
      <x:c r="E14" s="4"/>
      <x:c r="F14" s="4"/>
      <x:c r="G14" s="4"/>
      <x:c r="H14" s="4"/>
    </x:row>
    <x:row r="15" ht="22" customHeight="1">
      <x:c r="A15" s="2"/>
      <x:c r="B15" s="2"/>
      <x:c r="C15" s="2" t="str">
        <x:v>Variable delivery cost paid / incurred</x:v>
      </x:c>
      <x:c r="D15" s="19" t="n">
        <x:f>(D10*'Inputs'!D26+(IF('Inputs'!D13&gt;0,D10,0))*(1-'Inputs'!D26)/'Inputs'!D13)*'Unit economics'!D18</x:f>
        <x:v>0</x:v>
      </x:c>
      <x:c r="E15" s="19" t="n">
        <x:f>(E10*'Inputs'!D26+(IF('Inputs'!D13&gt;1,D10,0)+IF('Inputs'!D13&gt;0,E10,0))*(1-'Inputs'!D26)/'Inputs'!D13)*'Unit economics'!D18</x:f>
        <x:v>1840</x:v>
      </x:c>
      <x:c r="F15" s="19" t="n">
        <x:f>(F10*'Inputs'!D26+(IF('Inputs'!D13&gt;2,D10,0)+IF('Inputs'!D13&gt;1,E10,0)+IF('Inputs'!D13&gt;0,F10,0))*(1-'Inputs'!D26)/'Inputs'!D13)*'Unit economics'!D18</x:f>
        <x:v>3680</x:v>
      </x:c>
      <x:c r="G15" s="19" t="n">
        <x:f>(G10*'Inputs'!D26+(IF('Inputs'!D13&gt;3,D10,0)+IF('Inputs'!D13&gt;2,E10,0)+IF('Inputs'!D13&gt;1,F10,0)+IF('Inputs'!D13&gt;0,G10,0))*(1-'Inputs'!D26)/'Inputs'!D13)*'Unit economics'!D18</x:f>
        <x:v>0</x:v>
      </x:c>
      <x:c r="H15" s="19" t="n">
        <x:f>(H10*'Inputs'!D26+(IF('Inputs'!D13&gt;4,D10,0)+IF('Inputs'!D13&gt;3,E10,0)+IF('Inputs'!D13&gt;2,F10,0)+IF('Inputs'!D13&gt;1,G10,0)+IF('Inputs'!D13&gt;0,H10,0))*(1-'Inputs'!D26)/'Inputs'!D13)*'Unit economics'!D18</x:f>
        <x:v>0</x:v>
      </x:c>
    </x:row>
    <x:row r="16" ht="22" customHeight="1">
      <x:c r="A16" s="2"/>
      <x:c r="B16" s="2"/>
      <x:c r="C16" s="2" t="str">
        <x:v>Acquisition cost paid / expensed</x:v>
      </x:c>
      <x:c r="D16" s="19" t="n">
        <x:f>D10*'Unit economics'!D21</x:f>
        <x:v>0</x:v>
      </x:c>
      <x:c r="E16" s="19" t="n">
        <x:f>E10*'Unit economics'!D21</x:f>
        <x:v>1200</x:v>
      </x:c>
      <x:c r="F16" s="19" t="n">
        <x:f>F10*'Unit economics'!D21</x:f>
        <x:v>2400</x:v>
      </x:c>
      <x:c r="G16" s="19" t="n">
        <x:f>G10*'Unit economics'!D21</x:f>
        <x:v>0</x:v>
      </x:c>
      <x:c r="H16" s="19" t="n">
        <x:f>H10*'Unit economics'!D21</x:f>
        <x:v>0</x:v>
      </x:c>
    </x:row>
    <x:row r="17" ht="22" customHeight="1">
      <x:c r="A17" s="2"/>
      <x:c r="B17" s="2"/>
      <x:c r="C17" s="2" t="str">
        <x:v>Fixed operating cost</x:v>
      </x:c>
      <x:c r="D17" s="19" t="n">
        <x:f>'Inputs'!D42</x:f>
        <x:v>1000</x:v>
      </x:c>
      <x:c r="E17" s="19" t="n">
        <x:f>'Inputs'!D42</x:f>
        <x:v>1000</x:v>
      </x:c>
      <x:c r="F17" s="19" t="n">
        <x:f>'Inputs'!D42</x:f>
        <x:v>1000</x:v>
      </x:c>
      <x:c r="G17" s="4" t="n">
        <x:f>0</x:f>
        <x:v>0</x:v>
      </x:c>
      <x:c r="H17" s="4" t="n">
        <x:f>0</x:f>
        <x:v>0</x:v>
      </x:c>
    </x:row>
    <x:row r="18" ht="22" customHeight="1">
      <x:c r="A18" s="2"/>
      <x:c r="B18" s="2"/>
      <x:c r="C18" s="2" t="str">
        <x:v>Earned operating result before founder draw</x:v>
      </x:c>
      <x:c r="D18" s="4" t="n">
        <x:f>D12-SUM(D15:D17)</x:f>
        <x:v>-1000</x:v>
      </x:c>
      <x:c r="E18" s="4" t="n">
        <x:f>E12-SUM(E15:E17)</x:f>
        <x:v>620.7200000000003</x:v>
      </x:c>
      <x:c r="F18" s="4" t="n">
        <x:f>F12-SUM(F15:F17)</x:f>
        <x:v>2241.4400000000005</x:v>
      </x:c>
      <x:c r="G18" s="4" t="n">
        <x:f>G12-SUM(G15:G17)</x:f>
        <x:v>0</x:v>
      </x:c>
      <x:c r="H18" s="4" t="n">
        <x:f>H12-SUM(H15:H17)</x:f>
        <x:v>0</x:v>
      </x:c>
    </x:row>
    <x:row r="19" ht="22" customHeight="1">
      <x:c r="A19" s="2"/>
      <x:c r="B19" s="2"/>
      <x:c r="C19" s="2" t="str">
        <x:v>Founder draw</x:v>
      </x:c>
      <x:c r="D19" s="19" t="n">
        <x:f>'Inputs'!D43</x:f>
        <x:v>3000</x:v>
      </x:c>
      <x:c r="E19" s="19" t="n">
        <x:f>'Inputs'!D43</x:f>
        <x:v>3000</x:v>
      </x:c>
      <x:c r="F19" s="19" t="n">
        <x:f>'Inputs'!D43</x:f>
        <x:v>3000</x:v>
      </x:c>
      <x:c r="G19" s="4" t="n">
        <x:f>0</x:f>
        <x:v>0</x:v>
      </x:c>
      <x:c r="H19" s="4" t="n">
        <x:f>0</x:f>
        <x:v>0</x:v>
      </x:c>
    </x:row>
    <x:row r="20" ht="22" customHeight="1">
      <x:c r="A20" s="2"/>
      <x:c r="B20" s="2"/>
      <x:c r="C20" s="2" t="str">
        <x:v>Earned operating result after founder coverage</x:v>
      </x:c>
      <x:c r="D20" s="4" t="n">
        <x:f>D18-D19</x:f>
        <x:v>-4000</x:v>
      </x:c>
      <x:c r="E20" s="4" t="n">
        <x:f>E18-E19</x:f>
        <x:v>-2379.2799999999997</x:v>
      </x:c>
      <x:c r="F20" s="4" t="n">
        <x:f>F18-F19</x:f>
        <x:v>-758.5599999999995</x:v>
      </x:c>
      <x:c r="G20" s="4" t="n">
        <x:f>G18-G19</x:f>
        <x:v>0</x:v>
      </x:c>
      <x:c r="H20" s="4" t="n">
        <x:f>H18-H19</x:f>
        <x:v>0</x:v>
      </x:c>
    </x:row>
    <x:row r="21" ht="22" customHeight="1">
      <x:c r="A21" s="2"/>
      <x:c r="B21" s="2"/>
      <x:c r="C21" s="2"/>
      <x:c r="D21" s="4"/>
      <x:c r="E21" s="4"/>
      <x:c r="F21" s="4"/>
      <x:c r="G21" s="4"/>
      <x:c r="H21" s="4"/>
    </x:row>
    <x:row r="22" ht="22" customHeight="1">
      <x:c r="A22" s="2"/>
      <x:c r="B22" s="2"/>
      <x:c r="C22" s="2" t="str">
        <x:v>Startup cash</x:v>
      </x:c>
      <x:c r="D22" s="19" t="n">
        <x:f>'Inputs'!D41</x:f>
        <x:v>8000</x:v>
      </x:c>
      <x:c r="E22" s="4" t="n">
        <x:f>0</x:f>
        <x:v>0</x:v>
      </x:c>
      <x:c r="F22" s="4" t="n">
        <x:f>0</x:f>
        <x:v>0</x:v>
      </x:c>
      <x:c r="G22" s="4" t="n">
        <x:f>0</x:f>
        <x:v>0</x:v>
      </x:c>
      <x:c r="H22" s="4" t="n">
        <x:f>0</x:f>
        <x:v>0</x:v>
      </x:c>
    </x:row>
    <x:row r="23" ht="22" customHeight="1">
      <x:c r="A23" s="2"/>
      <x:c r="B23" s="2"/>
      <x:c r="C23" s="2" t="str">
        <x:v>Net cash change this month</x:v>
      </x:c>
      <x:c r="D23" s="4" t="n">
        <x:f>D13-SUM(D15:D17)-D19-D22</x:f>
        <x:v>-12000</x:v>
      </x:c>
      <x:c r="E23" s="4" t="n">
        <x:f>E13-SUM(E15:E17)-E19-E22</x:f>
        <x:v>-7040</x:v>
      </x:c>
      <x:c r="F23" s="4" t="n">
        <x:f>F13-SUM(F15:F17)-F19-F22</x:f>
        <x:v>-10080</x:v>
      </x:c>
      <x:c r="G23" s="4" t="n">
        <x:f>G13-SUM(G15:G17)-G19-G22</x:f>
        <x:v>4660.72</x:v>
      </x:c>
      <x:c r="H23" s="4" t="n">
        <x:f>H13-SUM(H15:H17)-H19-H22</x:f>
        <x:v>9321.44</x:v>
      </x:c>
    </x:row>
    <x:row r="24" ht="22" customHeight="1">
      <x:c r="A24" s="2"/>
      <x:c r="B24" s="2"/>
      <x:c r="C24" s="2" t="str">
        <x:v>Cumulative net cash since October</x:v>
      </x:c>
      <x:c r="D24" s="4" t="n">
        <x:f>0+D23</x:f>
        <x:v>-12000</x:v>
      </x:c>
      <x:c r="E24" s="4" t="n">
        <x:f>D24+E23</x:f>
        <x:v>-19040</x:v>
      </x:c>
      <x:c r="F24" s="4" t="n">
        <x:f>E24+F23</x:f>
        <x:v>-29120</x:v>
      </x:c>
      <x:c r="G24" s="4" t="n">
        <x:f>F24+G23</x:f>
        <x:v>-24459.28</x:v>
      </x:c>
      <x:c r="H24" s="4" t="n">
        <x:f>G24+H23</x:f>
        <x:v>-15137.839999999998</x:v>
      </x:c>
    </x:row>
    <x:row r="25" ht="22" customHeight="1">
      <x:c r="A25" s="2"/>
      <x:c r="B25" s="2"/>
      <x:c r="C25" s="2"/>
      <x:c r="D25" s="4"/>
      <x:c r="E25" s="4"/>
      <x:c r="F25" s="4"/>
      <x:c r="G25" s="4"/>
      <x:c r="H25" s="4"/>
    </x:row>
    <x:row r="26" ht="22" customHeight="1">
      <x:c r="A26" s="2"/>
      <x:c r="B26" s="2"/>
      <x:c r="C26" s="2" t="str">
        <x:v>Payment receivable at month end</x:v>
      </x:c>
      <x:c r="D26" s="4" t="n">
        <x:f>0+D11-D13</x:f>
        <x:v>0</x:v>
      </x:c>
      <x:c r="E26" s="4" t="n">
        <x:f>D26+E11-E13</x:f>
        <x:v>4660.72</x:v>
      </x:c>
      <x:c r="F26" s="4" t="n">
        <x:f>E26+F11-F13</x:f>
        <x:v>13982.16</x:v>
      </x:c>
      <x:c r="G26" s="4" t="n">
        <x:f>F26+G11-G13</x:f>
        <x:v>9321.439999999999</x:v>
      </x:c>
      <x:c r="H26" s="4" t="n">
        <x:f>G26+H11-H13</x:f>
        <x:v>-1.8189894035458565e-12</x:v>
      </x:c>
    </x:row>
    <x:row r="27" ht="22" customHeight="1">
      <x:c r="A27" s="2"/>
      <x:c r="B27" s="2"/>
      <x:c r="C27" s="2" t="str">
        <x:v>Unserved service value at net-sales basis</x:v>
      </x:c>
      <x:c r="D27" s="4" t="n">
        <x:f>0+D11-D12</x:f>
        <x:v>0</x:v>
      </x:c>
      <x:c r="E27" s="4" t="n">
        <x:f>D27+E11-E12</x:f>
        <x:v>0</x:v>
      </x:c>
      <x:c r="F27" s="4" t="n">
        <x:f>E27+F11-F12</x:f>
        <x:v>0</x:v>
      </x:c>
      <x:c r="G27" s="4" t="n">
        <x:f>F27+G11-G12</x:f>
        <x:v>0</x:v>
      </x:c>
      <x:c r="H27" s="4" t="n">
        <x:f>G27+H11-H12</x:f>
        <x:v>0</x:v>
      </x:c>
    </x:row>
    <x:row r="28" ht="22" customHeight="1">
      <x:c r="A28" s="2"/>
      <x:c r="B28" s="2"/>
      <x:c r="C28" s="2" t="str">
        <x:v>Unpaid delivery cost reserve</x:v>
      </x:c>
      <x:c r="D28" s="19" t="n">
        <x:f>0+D10*'Unit economics'!D18-D15</x:f>
        <x:v>0</x:v>
      </x:c>
      <x:c r="E28" s="19" t="n">
        <x:f>D28+E10*'Unit economics'!D18-E15</x:f>
        <x:v>0</x:v>
      </x:c>
      <x:c r="F28" s="19" t="n">
        <x:f>E28+F10*'Unit economics'!D18-F15</x:f>
        <x:v>0</x:v>
      </x:c>
      <x:c r="G28" s="19" t="n">
        <x:f>F28+G10*'Unit economics'!D18-G15</x:f>
        <x:v>0</x:v>
      </x:c>
      <x:c r="H28" s="19" t="n">
        <x:f>G28+H10*'Unit economics'!D18-H15</x:f>
        <x:v>0</x:v>
      </x:c>
    </x:row>
    <x:row r="29" ht="22" customHeight="1">
      <x:c r="A29" s="2"/>
      <x:c r="B29" s="2"/>
      <x:c r="C29" s="2" t="str">
        <x:v>Cumulative cash less delivery reserve</x:v>
      </x:c>
      <x:c r="D29" s="4" t="n">
        <x:f>D24-D28</x:f>
        <x:v>-12000</x:v>
      </x:c>
      <x:c r="E29" s="4" t="n">
        <x:f>E24-E28</x:f>
        <x:v>-19040</x:v>
      </x:c>
      <x:c r="F29" s="4" t="n">
        <x:f>F24-F28</x:f>
        <x:v>-29120</x:v>
      </x:c>
      <x:c r="G29" s="4" t="n">
        <x:f>G24-G28</x:f>
        <x:v>-24459.28</x:v>
      </x:c>
      <x:c r="H29" s="4" t="n">
        <x:f>H24-H28</x:f>
        <x:v>-15137.839999999998</x:v>
      </x:c>
    </x:row>
    <x:row r="30" ht="22" customHeight="1">
      <x:c r="A30" s="2"/>
      <x:c r="B30" s="2"/>
      <x:c r="C30" s="2"/>
      <x:c r="D30" s="4"/>
      <x:c r="E30" s="4"/>
      <x:c r="F30" s="4"/>
      <x:c r="G30" s="4"/>
      <x:c r="H30" s="4"/>
    </x:row>
    <x:row r="31" ht="22" customHeight="1">
      <x:c r="A31" s="2"/>
      <x:c r="B31" s="2"/>
      <x:c r="C31" s="2" t="str">
        <x:v>Check booked = collected + receivable</x:v>
      </x:c>
      <x:c r="D31" s="27" t="n">
        <x:f>SUM(D11:D11)-SUM(D13:D13)-D26</x:f>
        <x:v>0</x:v>
      </x:c>
      <x:c r="E31" s="27" t="n">
        <x:f>SUM(D11:E11)-SUM(D13:E13)-E26</x:f>
        <x:v>0</x:v>
      </x:c>
      <x:c r="F31" s="27" t="n">
        <x:f>SUM(D11:F11)-SUM(D13:F13)-F26</x:f>
        <x:v>0</x:v>
      </x:c>
      <x:c r="G31" s="27" t="n">
        <x:f>SUM(D11:G11)-SUM(D13:G13)-G26</x:f>
        <x:v>0</x:v>
      </x:c>
      <x:c r="H31" s="27" t="n">
        <x:f>SUM(D11:H11)-SUM(D13:H13)-H26</x:f>
        <x:v>1.8189894035458565e-12</x:v>
      </x:c>
    </x:row>
    <x:row r="32" ht="22" customHeight="1">
      <x:c r="A32" s="2"/>
      <x:c r="B32" s="2"/>
      <x:c r="C32" s="2" t="str">
        <x:v>Check booked = earned + unserved value</x:v>
      </x:c>
      <x:c r="D32" s="27" t="n">
        <x:f>SUM(D11:D11)-SUM(D12:D12)-D27</x:f>
        <x:v>0</x:v>
      </x:c>
      <x:c r="E32" s="27" t="n">
        <x:f>SUM(D11:E11)-SUM(D12:E12)-E27</x:f>
        <x:v>0</x:v>
      </x:c>
      <x:c r="F32" s="27" t="n">
        <x:f>SUM(D11:F11)-SUM(D12:F12)-F27</x:f>
        <x:v>0</x:v>
      </x:c>
      <x:c r="G32" s="27" t="n">
        <x:f>SUM(D11:G11)-SUM(D12:G12)-G27</x:f>
        <x:v>0</x:v>
      </x:c>
      <x:c r="H32" s="27" t="n">
        <x:f>SUM(D11:H11)-SUM(D12:H12)-H27</x:f>
        <x:v>0</x:v>
      </x:c>
    </x:row>
    <x:row r="33" ht="22" customHeight="1">
      <x:c r="A33" s="2"/>
      <x:c r="B33" s="2"/>
      <x:c r="C33" s="2" t="str">
        <x:v>Check variable booked = paid + reserve</x:v>
      </x:c>
      <x:c r="D33" s="28" t="n">
        <x:f>SUM(D10:D10)*'Unit economics'!D18-SUM(D15:D15)-D28</x:f>
        <x:v>0</x:v>
      </x:c>
      <x:c r="E33" s="28" t="n">
        <x:f>SUM(D10:E10)*'Unit economics'!D18-SUM(D15:E15)-E28</x:f>
        <x:v>0</x:v>
      </x:c>
      <x:c r="F33" s="28" t="n">
        <x:f>SUM(D10:F10)*'Unit economics'!D18-SUM(D15:F15)-F28</x:f>
        <x:v>0</x:v>
      </x:c>
      <x:c r="G33" s="28" t="n">
        <x:f>SUM(D10:G10)*'Unit economics'!D18-SUM(D15:G15)-G28</x:f>
        <x:v>0</x:v>
      </x:c>
      <x:c r="H33" s="28" t="n">
        <x:f>SUM(D10:H10)*'Unit economics'!D18-SUM(D15:H15)-H28</x:f>
        <x:v>0</x:v>
      </x:c>
    </x:row>
    <x:row r="34" ht="22" customHeight="1">
      <x:c r="A34" s="2"/>
      <x:c r="B34" s="2"/>
      <x:c r="C34" s="2"/>
      <x:c r="D34" s="4"/>
      <x:c r="E34" s="4"/>
      <x:c r="F34" s="4"/>
      <x:c r="G34" s="4"/>
      <x:c r="H34" s="4"/>
    </x:row>
    <x:row r="35" ht="22" customHeight="1">
      <x:c r="A35" s="2"/>
      <x:c r="B35" s="2"/>
      <x:c r="C35" s="2"/>
      <x:c r="D35" s="4"/>
      <x:c r="E35" s="4"/>
      <x:c r="F35" s="4"/>
      <x:c r="G35" s="4"/>
      <x:c r="H35" s="4"/>
    </x:row>
    <x:row r="36" ht="22" customHeight="1">
      <x:c r="A36" s="2"/>
      <x:c r="B36" s="2"/>
      <x:c r="C36" s="2"/>
      <x:c r="D36" s="4"/>
      <x:c r="E36" s="4"/>
      <x:c r="F36" s="4"/>
      <x:c r="G36" s="4"/>
      <x:c r="H36" s="4"/>
    </x:row>
    <x:row r="37" ht="22" customHeight="1">
      <x:c r="A37" s="2"/>
      <x:c r="B37" s="2"/>
      <x:c r="C37" s="2"/>
      <x:c r="D37" s="4"/>
      <x:c r="E37" s="4"/>
      <x:c r="F37" s="4"/>
      <x:c r="G37" s="4"/>
      <x:c r="H37" s="4"/>
    </x:row>
    <x:row r="38" ht="22" customHeight="1">
      <x:c r="A38" s="2"/>
      <x:c r="B38" s="2"/>
      <x:c r="C38" s="2"/>
      <x:c r="D38" s="4"/>
      <x:c r="E38" s="4"/>
      <x:c r="F38" s="4"/>
      <x:c r="G38" s="4"/>
      <x:c r="H38" s="4"/>
    </x:row>
    <x:row r="39" ht="22" customHeight="1">
      <x:c r="A39" s="2"/>
      <x:c r="B39" s="2"/>
      <x:c r="C39" s="24" t="str">
        <x:v>Active trip C3</x:v>
      </x:c>
      <x:c r="D39" s="25"/>
      <x:c r="E39" s="25"/>
      <x:c r="F39" s="25"/>
      <x:c r="G39" s="25"/>
      <x:c r="H39" s="25"/>
    </x:row>
    <x:row r="40" ht="22" customHeight="1">
      <x:c r="A40" s="2"/>
      <x:c r="B40" s="2"/>
      <x:c r="C40" s="2" t="str">
        <x:v>Gross buyers</x:v>
      </x:c>
      <x:c r="D40" s="21" t="n">
        <x:f>'Inputs'!E45</x:f>
        <x:v>0</x:v>
      </x:c>
      <x:c r="E40" s="21" t="n">
        <x:f>'Inputs'!E50</x:f>
        <x:v>40</x:v>
      </x:c>
      <x:c r="F40" s="21" t="n">
        <x:f>'Inputs'!E55</x:f>
        <x:v>80</x:v>
      </x:c>
      <x:c r="G40" s="26" t="n">
        <x:f>0</x:f>
        <x:v>0</x:v>
      </x:c>
      <x:c r="H40" s="26" t="n">
        <x:f>0</x:f>
        <x:v>0</x:v>
      </x:c>
    </x:row>
    <x:row r="41" ht="22" customHeight="1">
      <x:c r="A41" s="2"/>
      <x:c r="B41" s="2"/>
      <x:c r="C41" s="2" t="str">
        <x:v>Net sales booked after refunds and fees</x:v>
      </x:c>
      <x:c r="D41" s="19" t="n">
        <x:f>D40*'Unit economics'!E11</x:f>
        <x:v>0</x:v>
      </x:c>
      <x:c r="E41" s="19" t="n">
        <x:f>E40*'Unit economics'!E11</x:f>
        <x:v>6224.719999999999</x:v>
      </x:c>
      <x:c r="F41" s="19" t="n">
        <x:f>F40*'Unit economics'!E11</x:f>
        <x:v>12449.439999999999</x:v>
      </x:c>
      <x:c r="G41" s="19" t="n">
        <x:f>G40*'Unit economics'!E11</x:f>
        <x:v>0</x:v>
      </x:c>
      <x:c r="H41" s="19" t="n">
        <x:f>H40*'Unit economics'!E11</x:f>
        <x:v>0</x:v>
      </x:c>
    </x:row>
    <x:row r="42" ht="22" customHeight="1">
      <x:c r="A42" s="2"/>
      <x:c r="B42" s="2"/>
      <x:c r="C42" s="2" t="str">
        <x:v>Net service revenue earned</x:v>
      </x:c>
      <x:c r="D42" s="19" t="n">
        <x:f>(IF('Inputs'!E13&gt;0,D40,0))*'Unit economics'!E11/'Inputs'!E13</x:f>
        <x:v>0</x:v>
      </x:c>
      <x:c r="E42" s="19" t="n">
        <x:f>(IF('Inputs'!E13&gt;1,D40,0)+IF('Inputs'!E13&gt;0,E40,0))*'Unit economics'!E11/'Inputs'!E13</x:f>
        <x:v>3112.3599999999997</x:v>
      </x:c>
      <x:c r="F42" s="19" t="n">
        <x:f>(IF('Inputs'!E13&gt;2,D40,0)+IF('Inputs'!E13&gt;1,E40,0)+IF('Inputs'!E13&gt;0,F40,0))*'Unit economics'!E11/'Inputs'!E13</x:f>
        <x:v>9337.08</x:v>
      </x:c>
      <x:c r="G42" s="19" t="n">
        <x:f>(IF('Inputs'!E13&gt;3,D40,0)+IF('Inputs'!E13&gt;2,E40,0)+IF('Inputs'!E13&gt;1,F40,0)+IF('Inputs'!E13&gt;0,G40,0))*'Unit economics'!E11/'Inputs'!E13</x:f>
        <x:v>6224.719999999999</x:v>
      </x:c>
      <x:c r="H42" s="19" t="n">
        <x:f>(IF('Inputs'!E13&gt;4,D40,0)+IF('Inputs'!E13&gt;3,E40,0)+IF('Inputs'!E13&gt;2,F40,0)+IF('Inputs'!E13&gt;1,G40,0)+IF('Inputs'!E13&gt;0,H40,0))*'Unit economics'!E11/'Inputs'!E13</x:f>
        <x:v>0</x:v>
      </x:c>
    </x:row>
    <x:row r="43" ht="22" customHeight="1">
      <x:c r="A43" s="2"/>
      <x:c r="B43" s="2"/>
      <x:c r="C43" s="2" t="str">
        <x:v>Cash collections</x:v>
      </x:c>
      <x:c r="D43" s="19" t="n">
        <x:f>IF('Inputs'!E23=0,D41,0)</x:f>
        <x:v>0</x:v>
      </x:c>
      <x:c r="E43" s="19" t="n">
        <x:f>IF('Inputs'!E23=1,D41,0)+IF('Inputs'!E23=0,E41,0)</x:f>
        <x:v>0</x:v>
      </x:c>
      <x:c r="F43" s="19" t="n">
        <x:f>IF('Inputs'!E23=2,D41,0)+IF('Inputs'!E23=1,E41,0)+IF('Inputs'!E23=0,F41,0)</x:f>
        <x:v>0</x:v>
      </x:c>
      <x:c r="G43" s="19" t="n">
        <x:f>IF('Inputs'!E23=3,D41,0)+IF('Inputs'!E23=2,E41,0)+IF('Inputs'!E23=1,F41,0)+IF('Inputs'!E23=0,G41,0)</x:f>
        <x:v>6224.719999999999</x:v>
      </x:c>
      <x:c r="H43" s="19" t="n">
        <x:f>IF('Inputs'!E23=4,D41,0)+IF('Inputs'!E23=3,E41,0)+IF('Inputs'!E23=2,F41,0)+IF('Inputs'!E23=1,G41,0)+IF('Inputs'!E23=0,H41,0)</x:f>
        <x:v>12449.439999999999</x:v>
      </x:c>
    </x:row>
    <x:row r="44" ht="22" customHeight="1">
      <x:c r="A44" s="2"/>
      <x:c r="B44" s="2"/>
      <x:c r="C44" s="2"/>
      <x:c r="D44" s="4"/>
      <x:c r="E44" s="4"/>
      <x:c r="F44" s="4"/>
      <x:c r="G44" s="4"/>
      <x:c r="H44" s="4"/>
    </x:row>
    <x:row r="45" ht="22" customHeight="1">
      <x:c r="A45" s="2"/>
      <x:c r="B45" s="2"/>
      <x:c r="C45" s="2" t="str">
        <x:v>Variable delivery cost paid / incurred</x:v>
      </x:c>
      <x:c r="D45" s="19" t="n">
        <x:f>(D40*'Inputs'!E26+(IF('Inputs'!E13&gt;0,D40,0))*(1-'Inputs'!E26)/'Inputs'!E13)*'Unit economics'!E18</x:f>
        <x:v>0</x:v>
      </x:c>
      <x:c r="E45" s="19" t="n">
        <x:f>(E40*'Inputs'!E26+(IF('Inputs'!E13&gt;1,D40,0)+IF('Inputs'!E13&gt;0,E40,0))*(1-'Inputs'!E26)/'Inputs'!E13)*'Unit economics'!E18</x:f>
        <x:v>2640</x:v>
      </x:c>
      <x:c r="F45" s="19" t="n">
        <x:f>(F40*'Inputs'!E26+(IF('Inputs'!E13&gt;2,D40,0)+IF('Inputs'!E13&gt;1,E40,0)+IF('Inputs'!E13&gt;0,F40,0))*(1-'Inputs'!E26)/'Inputs'!E13)*'Unit economics'!E18</x:f>
        <x:v>6160</x:v>
      </x:c>
      <x:c r="G45" s="19" t="n">
        <x:f>(G40*'Inputs'!E26+(IF('Inputs'!E13&gt;3,D40,0)+IF('Inputs'!E13&gt;2,E40,0)+IF('Inputs'!E13&gt;1,F40,0)+IF('Inputs'!E13&gt;0,G40,0))*(1-'Inputs'!E26)/'Inputs'!E13)*'Unit economics'!E18</x:f>
        <x:v>1760</x:v>
      </x:c>
      <x:c r="H45" s="19" t="n">
        <x:f>(H40*'Inputs'!E26+(IF('Inputs'!E13&gt;4,D40,0)+IF('Inputs'!E13&gt;3,E40,0)+IF('Inputs'!E13&gt;2,F40,0)+IF('Inputs'!E13&gt;1,G40,0)+IF('Inputs'!E13&gt;0,H40,0))*(1-'Inputs'!E26)/'Inputs'!E13)*'Unit economics'!E18</x:f>
        <x:v>0</x:v>
      </x:c>
    </x:row>
    <x:row r="46" ht="22" customHeight="1">
      <x:c r="A46" s="2"/>
      <x:c r="B46" s="2"/>
      <x:c r="C46" s="2" t="str">
        <x:v>Acquisition cost paid / expensed</x:v>
      </x:c>
      <x:c r="D46" s="19" t="n">
        <x:f>D40*'Unit economics'!E21</x:f>
        <x:v>0</x:v>
      </x:c>
      <x:c r="E46" s="19" t="n">
        <x:f>E40*'Unit economics'!E21</x:f>
        <x:v>1600</x:v>
      </x:c>
      <x:c r="F46" s="19" t="n">
        <x:f>F40*'Unit economics'!E21</x:f>
        <x:v>3200</x:v>
      </x:c>
      <x:c r="G46" s="19" t="n">
        <x:f>G40*'Unit economics'!E21</x:f>
        <x:v>0</x:v>
      </x:c>
      <x:c r="H46" s="19" t="n">
        <x:f>H40*'Unit economics'!E21</x:f>
        <x:v>0</x:v>
      </x:c>
    </x:row>
    <x:row r="47" ht="22" customHeight="1">
      <x:c r="A47" s="2"/>
      <x:c r="B47" s="2"/>
      <x:c r="C47" s="2" t="str">
        <x:v>Fixed operating cost</x:v>
      </x:c>
      <x:c r="D47" s="19" t="n">
        <x:f>'Inputs'!E42</x:f>
        <x:v>1500</x:v>
      </x:c>
      <x:c r="E47" s="19" t="n">
        <x:f>'Inputs'!E42</x:f>
        <x:v>1500</x:v>
      </x:c>
      <x:c r="F47" s="19" t="n">
        <x:f>'Inputs'!E42</x:f>
        <x:v>1500</x:v>
      </x:c>
      <x:c r="G47" s="4" t="n">
        <x:f>0</x:f>
        <x:v>0</x:v>
      </x:c>
      <x:c r="H47" s="4" t="n">
        <x:f>0</x:f>
        <x:v>0</x:v>
      </x:c>
    </x:row>
    <x:row r="48" ht="22" customHeight="1">
      <x:c r="A48" s="2"/>
      <x:c r="B48" s="2"/>
      <x:c r="C48" s="2" t="str">
        <x:v>Earned operating result before founder draw</x:v>
      </x:c>
      <x:c r="D48" s="4" t="n">
        <x:f>D42-SUM(D45:D47)</x:f>
        <x:v>-1500</x:v>
      </x:c>
      <x:c r="E48" s="4" t="n">
        <x:f>E42-SUM(E45:E47)</x:f>
        <x:v>-2627.6400000000003</x:v>
      </x:c>
      <x:c r="F48" s="4" t="n">
        <x:f>F42-SUM(F45:F47)</x:f>
        <x:v>-1522.92</x:v>
      </x:c>
      <x:c r="G48" s="4" t="n">
        <x:f>G42-SUM(G45:G47)</x:f>
        <x:v>4464.719999999999</x:v>
      </x:c>
      <x:c r="H48" s="4" t="n">
        <x:f>H42-SUM(H45:H47)</x:f>
        <x:v>0</x:v>
      </x:c>
    </x:row>
    <x:row r="49" ht="22" customHeight="1">
      <x:c r="A49" s="2"/>
      <x:c r="B49" s="2"/>
      <x:c r="C49" s="2" t="str">
        <x:v>Founder draw</x:v>
      </x:c>
      <x:c r="D49" s="19" t="n">
        <x:f>'Inputs'!E43</x:f>
        <x:v>3000</x:v>
      </x:c>
      <x:c r="E49" s="19" t="n">
        <x:f>'Inputs'!E43</x:f>
        <x:v>3000</x:v>
      </x:c>
      <x:c r="F49" s="19" t="n">
        <x:f>'Inputs'!E43</x:f>
        <x:v>3000</x:v>
      </x:c>
      <x:c r="G49" s="4" t="n">
        <x:f>0</x:f>
        <x:v>0</x:v>
      </x:c>
      <x:c r="H49" s="4" t="n">
        <x:f>0</x:f>
        <x:v>0</x:v>
      </x:c>
    </x:row>
    <x:row r="50" ht="22" customHeight="1">
      <x:c r="A50" s="2"/>
      <x:c r="B50" s="2"/>
      <x:c r="C50" s="2" t="str">
        <x:v>Earned operating result after founder coverage</x:v>
      </x:c>
      <x:c r="D50" s="4" t="n">
        <x:f>D48-D49</x:f>
        <x:v>-4500</x:v>
      </x:c>
      <x:c r="E50" s="4" t="n">
        <x:f>E48-E49</x:f>
        <x:v>-5627.64</x:v>
      </x:c>
      <x:c r="F50" s="4" t="n">
        <x:f>F48-F49</x:f>
        <x:v>-4522.92</x:v>
      </x:c>
      <x:c r="G50" s="4" t="n">
        <x:f>G48-G49</x:f>
        <x:v>4464.719999999999</x:v>
      </x:c>
      <x:c r="H50" s="4" t="n">
        <x:f>H48-H49</x:f>
        <x:v>0</x:v>
      </x:c>
    </x:row>
    <x:row r="51" ht="22" customHeight="1">
      <x:c r="A51" s="2"/>
      <x:c r="B51" s="2"/>
      <x:c r="C51" s="2"/>
      <x:c r="D51" s="4"/>
      <x:c r="E51" s="4"/>
      <x:c r="F51" s="4"/>
      <x:c r="G51" s="4"/>
      <x:c r="H51" s="4"/>
    </x:row>
    <x:row r="52" ht="22" customHeight="1">
      <x:c r="A52" s="2"/>
      <x:c r="B52" s="2"/>
      <x:c r="C52" s="2" t="str">
        <x:v>Startup cash</x:v>
      </x:c>
      <x:c r="D52" s="19" t="n">
        <x:f>'Inputs'!E41</x:f>
        <x:v>12000</x:v>
      </x:c>
      <x:c r="E52" s="4" t="n">
        <x:f>0</x:f>
        <x:v>0</x:v>
      </x:c>
      <x:c r="F52" s="4" t="n">
        <x:f>0</x:f>
        <x:v>0</x:v>
      </x:c>
      <x:c r="G52" s="4" t="n">
        <x:f>0</x:f>
        <x:v>0</x:v>
      </x:c>
      <x:c r="H52" s="4" t="n">
        <x:f>0</x:f>
        <x:v>0</x:v>
      </x:c>
    </x:row>
    <x:row r="53" ht="22" customHeight="1">
      <x:c r="A53" s="2"/>
      <x:c r="B53" s="2"/>
      <x:c r="C53" s="2" t="str">
        <x:v>Net cash change this month</x:v>
      </x:c>
      <x:c r="D53" s="4" t="n">
        <x:f>D43-SUM(D45:D47)-D49-D52</x:f>
        <x:v>-16500</x:v>
      </x:c>
      <x:c r="E53" s="4" t="n">
        <x:f>E43-SUM(E45:E47)-E49-E52</x:f>
        <x:v>-8740</x:v>
      </x:c>
      <x:c r="F53" s="4" t="n">
        <x:f>F43-SUM(F45:F47)-F49-F52</x:f>
        <x:v>-13860</x:v>
      </x:c>
      <x:c r="G53" s="4" t="n">
        <x:f>G43-SUM(G45:G47)-G49-G52</x:f>
        <x:v>4464.719999999999</x:v>
      </x:c>
      <x:c r="H53" s="4" t="n">
        <x:f>H43-SUM(H45:H47)-H49-H52</x:f>
        <x:v>12449.439999999999</x:v>
      </x:c>
    </x:row>
    <x:row r="54" ht="22" customHeight="1">
      <x:c r="A54" s="2"/>
      <x:c r="B54" s="2"/>
      <x:c r="C54" s="2" t="str">
        <x:v>Cumulative net cash since October</x:v>
      </x:c>
      <x:c r="D54" s="4" t="n">
        <x:f>0+D53</x:f>
        <x:v>-16500</x:v>
      </x:c>
      <x:c r="E54" s="4" t="n">
        <x:f>D54+E53</x:f>
        <x:v>-25240</x:v>
      </x:c>
      <x:c r="F54" s="4" t="n">
        <x:f>E54+F53</x:f>
        <x:v>-39100</x:v>
      </x:c>
      <x:c r="G54" s="4" t="n">
        <x:f>F54+G53</x:f>
        <x:v>-34635.28</x:v>
      </x:c>
      <x:c r="H54" s="4" t="n">
        <x:f>G54+H53</x:f>
        <x:v>-22185.84</x:v>
      </x:c>
    </x:row>
    <x:row r="55" ht="22" customHeight="1">
      <x:c r="A55" s="2"/>
      <x:c r="B55" s="2"/>
      <x:c r="C55" s="2"/>
      <x:c r="D55" s="4"/>
      <x:c r="E55" s="4"/>
      <x:c r="F55" s="4"/>
      <x:c r="G55" s="4"/>
      <x:c r="H55" s="4"/>
    </x:row>
    <x:row r="56" ht="22" customHeight="1">
      <x:c r="A56" s="2"/>
      <x:c r="B56" s="2"/>
      <x:c r="C56" s="2" t="str">
        <x:v>Payment receivable at month end</x:v>
      </x:c>
      <x:c r="D56" s="4" t="n">
        <x:f>0+D41-D43</x:f>
        <x:v>0</x:v>
      </x:c>
      <x:c r="E56" s="4" t="n">
        <x:f>D56+E41-E43</x:f>
        <x:v>6224.719999999999</x:v>
      </x:c>
      <x:c r="F56" s="4" t="n">
        <x:f>E56+F41-F43</x:f>
        <x:v>18674.159999999996</x:v>
      </x:c>
      <x:c r="G56" s="4" t="n">
        <x:f>F56+G41-G43</x:f>
        <x:v>12449.439999999997</x:v>
      </x:c>
      <x:c r="H56" s="4" t="n">
        <x:f>G56+H41-H43</x:f>
        <x:v>-1.8189894035458565e-12</x:v>
      </x:c>
    </x:row>
    <x:row r="57" ht="22" customHeight="1">
      <x:c r="A57" s="2"/>
      <x:c r="B57" s="2"/>
      <x:c r="C57" s="2" t="str">
        <x:v>Unserved service value at net-sales basis</x:v>
      </x:c>
      <x:c r="D57" s="4" t="n">
        <x:f>0+D41-D42</x:f>
        <x:v>0</x:v>
      </x:c>
      <x:c r="E57" s="4" t="n">
        <x:f>D57+E41-E42</x:f>
        <x:v>3112.3599999999997</x:v>
      </x:c>
      <x:c r="F57" s="4" t="n">
        <x:f>E57+F41-F42</x:f>
        <x:v>6224.719999999999</x:v>
      </x:c>
      <x:c r="G57" s="4" t="n">
        <x:f>F57+G41-G42</x:f>
        <x:v>0</x:v>
      </x:c>
      <x:c r="H57" s="4" t="n">
        <x:f>G57+H41-H42</x:f>
        <x:v>0</x:v>
      </x:c>
    </x:row>
    <x:row r="58" ht="22" customHeight="1">
      <x:c r="A58" s="2"/>
      <x:c r="B58" s="2"/>
      <x:c r="C58" s="2" t="str">
        <x:v>Unpaid delivery cost reserve</x:v>
      </x:c>
      <x:c r="D58" s="19" t="n">
        <x:f>0+D40*'Unit economics'!E18-D45</x:f>
        <x:v>0</x:v>
      </x:c>
      <x:c r="E58" s="19" t="n">
        <x:f>D58+E40*'Unit economics'!E18-E45</x:f>
        <x:v>880</x:v>
      </x:c>
      <x:c r="F58" s="19" t="n">
        <x:f>E58+F40*'Unit economics'!E18-F45</x:f>
        <x:v>1760</x:v>
      </x:c>
      <x:c r="G58" s="19" t="n">
        <x:f>F58+G40*'Unit economics'!E18-G45</x:f>
        <x:v>0</x:v>
      </x:c>
      <x:c r="H58" s="19" t="n">
        <x:f>G58+H40*'Unit economics'!E18-H45</x:f>
        <x:v>0</x:v>
      </x:c>
    </x:row>
    <x:row r="59" ht="22" customHeight="1">
      <x:c r="A59" s="2"/>
      <x:c r="B59" s="2"/>
      <x:c r="C59" s="2" t="str">
        <x:v>Cumulative cash less delivery reserve</x:v>
      </x:c>
      <x:c r="D59" s="4" t="n">
        <x:f>D54-D58</x:f>
        <x:v>-16500</x:v>
      </x:c>
      <x:c r="E59" s="4" t="n">
        <x:f>E54-E58</x:f>
        <x:v>-26120</x:v>
      </x:c>
      <x:c r="F59" s="4" t="n">
        <x:f>F54-F58</x:f>
        <x:v>-40860</x:v>
      </x:c>
      <x:c r="G59" s="4" t="n">
        <x:f>G54-G58</x:f>
        <x:v>-34635.28</x:v>
      </x:c>
      <x:c r="H59" s="4" t="n">
        <x:f>H54-H58</x:f>
        <x:v>-22185.84</x:v>
      </x:c>
    </x:row>
    <x:row r="60" ht="22" customHeight="1">
      <x:c r="A60" s="2"/>
      <x:c r="B60" s="2"/>
      <x:c r="C60" s="2"/>
      <x:c r="D60" s="4"/>
      <x:c r="E60" s="4"/>
      <x:c r="F60" s="4"/>
      <x:c r="G60" s="4"/>
      <x:c r="H60" s="4"/>
    </x:row>
    <x:row r="61" ht="22" customHeight="1">
      <x:c r="A61" s="2"/>
      <x:c r="B61" s="2"/>
      <x:c r="C61" s="2" t="str">
        <x:v>Check booked = collected + receivable</x:v>
      </x:c>
      <x:c r="D61" s="27" t="n">
        <x:f>SUM(D41:D41)-SUM(D43:D43)-D56</x:f>
        <x:v>0</x:v>
      </x:c>
      <x:c r="E61" s="27" t="n">
        <x:f>SUM(D41:E41)-SUM(D43:E43)-E56</x:f>
        <x:v>0</x:v>
      </x:c>
      <x:c r="F61" s="27" t="n">
        <x:f>SUM(D41:F41)-SUM(D43:F43)-F56</x:f>
        <x:v>0</x:v>
      </x:c>
      <x:c r="G61" s="27" t="n">
        <x:f>SUM(D41:G41)-SUM(D43:G43)-G56</x:f>
        <x:v>0</x:v>
      </x:c>
      <x:c r="H61" s="27" t="n">
        <x:f>SUM(D41:H41)-SUM(D43:H43)-H56</x:f>
        <x:v>1.8189894035458565e-12</x:v>
      </x:c>
    </x:row>
    <x:row r="62" ht="22" customHeight="1">
      <x:c r="A62" s="2"/>
      <x:c r="B62" s="2"/>
      <x:c r="C62" s="2" t="str">
        <x:v>Check booked = earned + unserved value</x:v>
      </x:c>
      <x:c r="D62" s="27" t="n">
        <x:f>SUM(D41:D41)-SUM(D42:D42)-D57</x:f>
        <x:v>0</x:v>
      </x:c>
      <x:c r="E62" s="27" t="n">
        <x:f>SUM(D41:E41)-SUM(D42:E42)-E57</x:f>
        <x:v>0</x:v>
      </x:c>
      <x:c r="F62" s="27" t="n">
        <x:f>SUM(D41:F41)-SUM(D42:F42)-F57</x:f>
        <x:v>-1.8189894035458565e-12</x:v>
      </x:c>
      <x:c r="G62" s="27" t="n">
        <x:f>SUM(D41:G41)-SUM(D42:G42)-G57</x:f>
        <x:v>0</x:v>
      </x:c>
      <x:c r="H62" s="27" t="n">
        <x:f>SUM(D41:H41)-SUM(D42:H42)-H57</x:f>
        <x:v>0</x:v>
      </x:c>
    </x:row>
    <x:row r="63" ht="22" customHeight="1">
      <x:c r="A63" s="2"/>
      <x:c r="B63" s="2"/>
      <x:c r="C63" s="2" t="str">
        <x:v>Check variable booked = paid + reserve</x:v>
      </x:c>
      <x:c r="D63" s="28" t="n">
        <x:f>SUM(D40:D40)*'Unit economics'!E18-SUM(D45:D45)-D58</x:f>
        <x:v>0</x:v>
      </x:c>
      <x:c r="E63" s="28" t="n">
        <x:f>SUM(D40:E40)*'Unit economics'!E18-SUM(D45:E45)-E58</x:f>
        <x:v>0</x:v>
      </x:c>
      <x:c r="F63" s="28" t="n">
        <x:f>SUM(D40:F40)*'Unit economics'!E18-SUM(D45:F45)-F58</x:f>
        <x:v>0</x:v>
      </x:c>
      <x:c r="G63" s="28" t="n">
        <x:f>SUM(D40:G40)*'Unit economics'!E18-SUM(D45:G45)-G58</x:f>
        <x:v>0</x:v>
      </x:c>
      <x:c r="H63" s="28" t="n">
        <x:f>SUM(D40:H40)*'Unit economics'!E18-SUM(D45:H45)-H58</x:f>
        <x:v>0</x:v>
      </x:c>
    </x:row>
    <x:row r="64" ht="22" customHeight="1">
      <x:c r="A64" s="2"/>
      <x:c r="B64" s="2"/>
      <x:c r="C64" s="2"/>
      <x:c r="D64" s="4"/>
      <x:c r="E64" s="4"/>
      <x:c r="F64" s="4"/>
      <x:c r="G64" s="4"/>
      <x:c r="H64" s="4"/>
    </x:row>
    <x:row r="65" ht="22" customHeight="1">
      <x:c r="A65" s="2"/>
      <x:c r="B65" s="2"/>
      <x:c r="C65" s="2"/>
      <x:c r="D65" s="4"/>
      <x:c r="E65" s="4"/>
      <x:c r="F65" s="4"/>
      <x:c r="G65" s="4"/>
      <x:c r="H65" s="4"/>
    </x:row>
    <x:row r="66" ht="22" customHeight="1">
      <x:c r="A66" s="2"/>
      <x:c r="B66" s="2"/>
      <x:c r="C66" s="2"/>
      <x:c r="D66" s="4"/>
      <x:c r="E66" s="4"/>
      <x:c r="F66" s="4"/>
      <x:c r="G66" s="4"/>
      <x:c r="H66" s="4"/>
    </x:row>
    <x:row r="67" ht="22" customHeight="1">
      <x:c r="A67" s="2"/>
      <x:c r="B67" s="2"/>
      <x:c r="C67" s="2"/>
      <x:c r="D67" s="4"/>
      <x:c r="E67" s="4"/>
      <x:c r="F67" s="4"/>
      <x:c r="G67" s="4"/>
      <x:c r="H67" s="4"/>
    </x:row>
    <x:row r="68" ht="22" customHeight="1">
      <x:c r="A68" s="2"/>
      <x:c r="B68" s="2"/>
      <x:c r="C68" s="2"/>
      <x:c r="D68" s="4"/>
      <x:c r="E68" s="4"/>
      <x:c r="F68" s="4"/>
      <x:c r="G68" s="4"/>
      <x:c r="H68" s="4"/>
    </x:row>
    <x:row r="69" ht="22" customHeight="1">
      <x:c r="A69" s="2"/>
      <x:c r="B69" s="2"/>
      <x:c r="C69" s="6" t="str">
        <x:v>January–February are runoff only: no new buyers, fixed costs or draw. Continued operations are not funded here.</x:v>
      </x:c>
      <x:c r="D69" s="4"/>
      <x:c r="E69" s="4"/>
      <x:c r="F69" s="4"/>
      <x:c r="G69" s="4"/>
      <x:c r="H69" s="4"/>
    </x:row>
    <x:row r="70" ht="22" customHeight="1">
      <x:c r="A70" s="2"/>
      <x:c r="B70" s="2"/>
      <x:c r="C70" s="6" t="str">
        <x:v>Revenue: 1/duration each month. Cost: upfront fraction plus remaining fraction/duration in each service month.</x:v>
      </x:c>
      <x:c r="D70" s="4"/>
      <x:c r="E70" s="4"/>
      <x:c r="F70" s="4"/>
      <x:c r="G70" s="4"/>
      <x:c r="H70" s="4"/>
    </x:row>
    <x:row r="71" ht="22" customHeight="1">
      <x:c r="A71" s="2"/>
      <x:c r="B71" s="2"/>
      <x:c r="C71" s="6" t="str">
        <x:v>Default W: all service/cost in sale month. T: revenue 50%/50%, variable cost 75%/25%.</x:v>
      </x:c>
      <x:c r="D71" s="4"/>
      <x:c r="E71" s="4"/>
      <x:c r="F71" s="4"/>
      <x:c r="G71" s="4"/>
      <x:c r="H71" s="4"/>
    </x:row>
    <x:row r="72" ht="22" customHeight="1">
      <x:c r="A72" s="2"/>
      <x:c r="B72" s="2"/>
      <x:c r="C72" s="6" t="str">
        <x:v>Net service value is a managerial obligation measure, not a GAAP deferred-revenue determination.</x:v>
      </x:c>
      <x:c r="D72" s="4"/>
      <x:c r="E72" s="4"/>
      <x:c r="F72" s="4"/>
      <x:c r="G72" s="4"/>
      <x:c r="H72" s="4"/>
    </x:row>
    <x:row r="73" ht="22" customHeight="1">
      <x:c r="A73" s="2"/>
      <x:c r="B73" s="2"/>
      <x:c r="C73" s="2"/>
      <x:c r="D73" s="4"/>
      <x:c r="E73" s="4"/>
      <x:c r="F73" s="4"/>
      <x:c r="G73" s="4"/>
      <x:c r="H73" s="4"/>
    </x:row>
    <x:row r="74" ht="22" customHeight="1">
      <x:c r="A74" s="2"/>
      <x:c r="B74" s="2"/>
      <x:c r="C74" s="2"/>
      <x:c r="D74" s="4"/>
      <x:c r="E74" s="4"/>
      <x:c r="F74" s="4"/>
      <x:c r="G74" s="4"/>
      <x:c r="H74" s="4"/>
    </x:row>
    <x:row r="75" ht="22" customHeight="1">
      <x:c r="A75" s="2"/>
      <x:c r="B75" s="2"/>
      <x:c r="C75" s="2"/>
      <x:c r="D75" s="4"/>
      <x:c r="E75" s="4"/>
      <x:c r="F75" s="4"/>
      <x:c r="G75" s="4"/>
      <x:c r="H75" s="4"/>
    </x:row>
    <x:row r="76" ht="22" customHeight="1">
      <x:c r="A76" s="2"/>
      <x:c r="B76" s="2"/>
      <x:c r="C76" s="2"/>
      <x:c r="D76" s="4"/>
      <x:c r="E76" s="4"/>
      <x:c r="F76" s="4"/>
      <x:c r="G76" s="4"/>
      <x:c r="H76" s="4"/>
    </x:row>
    <x:row r="77" ht="22" customHeight="1">
      <x:c r="A77" s="2"/>
      <x:c r="B77" s="2"/>
      <x:c r="C77" s="2"/>
      <x:c r="D77" s="4"/>
      <x:c r="E77" s="4"/>
      <x:c r="F77" s="4"/>
      <x:c r="G77" s="4"/>
      <x:c r="H77" s="4"/>
    </x:row>
    <x:row r="78" ht="22" customHeight="1">
      <x:c r="A78" s="2"/>
      <x:c r="B78" s="2"/>
      <x:c r="C78" s="2"/>
      <x:c r="D78" s="4"/>
      <x:c r="E78" s="4"/>
      <x:c r="F78" s="4"/>
      <x:c r="G78" s="4"/>
      <x:c r="H78" s="4"/>
    </x:row>
    <x:row r="79" ht="22" customHeight="1">
      <x:c r="A79" s="2"/>
      <x:c r="B79" s="2"/>
      <x:c r="C79" s="2"/>
      <x:c r="D79" s="4"/>
      <x:c r="E79" s="4"/>
      <x:c r="F79" s="4"/>
      <x:c r="G79" s="4"/>
      <x:c r="H79" s="4"/>
    </x:row>
    <x:row r="80" ht="22" customHeight="1">
      <x:c r="A80" s="2"/>
      <x:c r="B80" s="2"/>
      <x:c r="C80" s="2"/>
      <x:c r="D80" s="4"/>
      <x:c r="E80" s="4"/>
      <x:c r="F80" s="4"/>
      <x:c r="G80" s="4"/>
      <x:c r="H80" s="4"/>
    </x:row>
  </x:sheetData>
  <x:conditionalFormatting sqref="D31:H33">
    <x:cfRule type="cellIs" dxfId="0" priority="1" operator="notBetween">
      <x:formula>-0.005</x:formula>
      <x:formula>0.005</x:formula>
    </x:cfRule>
  </x:conditionalFormatting>
  <x:conditionalFormatting sqref="D61:H63">
    <x:cfRule type="cellIs" dxfId="1" priority="2" operator="notBetween">
      <x:formula>-0.005</x:formula>
      <x:formula>0.005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5" hidden="0" customWidth="1"/>
    <x:col min="4" max="4" width="1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2" customHeight="1">
      <x:c r="A2" s="2"/>
      <x:c r="B2" s="2"/>
      <x:c r="C2" s="3" t="str">
        <x:v>Sensitivity tests captured September 12, 2026</x:v>
      </x:c>
      <x:c r="D2" s="2"/>
      <x:c r="E2" s="2"/>
      <x:c r="F2" s="2"/>
      <x:c r="G2" s="2"/>
      <x:c r="H2" s="2"/>
      <x:c r="I2" s="2"/>
      <x:c r="J2" s="2"/>
      <x:c r="K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2"/>
      <x:c r="B4" s="2"/>
      <x:c r="C4" s="2" t="str">
        <x:v>Case selected</x:v>
      </x:c>
      <x:c r="D4" s="18" t="str">
        <x:f>CHOOSE('Inputs'!$D$4,"Native base","Native early","Zero sales","Pilot")</x:f>
        <x:v>Native base</x:v>
      </x:c>
      <x:c r="E4" s="2"/>
      <x:c r="F4" s="2"/>
      <x:c r="G4" s="2"/>
      <x:c r="H4" s="2"/>
      <x:c r="I4" s="2"/>
      <x:c r="J4" s="2"/>
      <x:c r="K4" s="2"/>
    </x:row>
    <x:row r="5" ht="22" customHeight="1">
      <x:c r="A5" s="2"/>
      <x:c r="B5" s="2"/>
      <x:c r="C5" s="6" t="str">
        <x:v>Captured tests are not live. Edit assumptions in model-builder.mjs and rerun to regenerate these captures.</x:v>
      </x:c>
      <x:c r="D5" s="2"/>
      <x:c r="E5" s="2"/>
      <x:c r="F5" s="2"/>
      <x:c r="G5" s="2"/>
      <x:c r="H5" s="2"/>
      <x:c r="I5" s="2"/>
      <x:c r="J5" s="2"/>
      <x:c r="K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27" customHeight="1">
      <x:c r="A7" s="2"/>
      <x:c r="B7" s="2"/>
      <x:c r="C7" s="9" t="str">
        <x:v>Case</x:v>
      </x:c>
      <x:c r="D7" s="9" t="str">
        <x:v>Product</x:v>
      </x:c>
      <x:c r="E7" s="9" t="str">
        <x:v>Unit contribution</x:v>
      </x:c>
      <x:c r="F7" s="9" t="str">
        <x:v>Dec before draw</x:v>
      </x:c>
      <x:c r="G7" s="9" t="str">
        <x:v>Dec after draw</x:v>
      </x:c>
      <x:c r="H7" s="9" t="str">
        <x:v>Cash Dec31</x:v>
      </x:c>
      <x:c r="I7" s="9" t="str">
        <x:v>After reserve</x:v>
      </x:c>
      <x:c r="J7" s="9" t="str">
        <x:v>Receivable</x:v>
      </x:c>
      <x:c r="K7" s="9" t="str">
        <x:v>Reserve</x:v>
      </x:c>
    </x:row>
    <x:row r="8" ht="22" customHeight="1">
      <x:c r="A8" s="2"/>
      <x:c r="B8" s="2"/>
      <x:c r="C8" s="2" t="str">
        <x:v>Native base lag 2</x:v>
      </x:c>
      <x:c r="D8" s="4" t="str">
        <x:v>Work return</x:v>
      </x:c>
      <x:c r="E8" s="4" t="n">
        <x:v>40.518</x:v>
      </x:c>
      <x:c r="F8" s="4" t="n">
        <x:v>2241.4400000000005</x:v>
      </x:c>
      <x:c r="G8" s="4" t="n">
        <x:v>-758.5599999999995</x:v>
      </x:c>
      <x:c r="H8" s="4" t="n">
        <x:v>-29120</x:v>
      </x:c>
      <x:c r="I8" s="4" t="n">
        <x:v>-29120</x:v>
      </x:c>
      <x:c r="J8" s="4" t="n">
        <x:v>13982.16</x:v>
      </x:c>
      <x:c r="K8" s="4" t="n">
        <x:v>0</x:v>
      </x:c>
    </x:row>
    <x:row r="9" ht="22" customHeight="1">
      <x:c r="A9" s="2"/>
      <x:c r="B9" s="2"/>
      <x:c r="C9" s="2" t="str">
        <x:v>Native base lag 2</x:v>
      </x:c>
      <x:c r="D9" s="4" t="str">
        <x:v>Active trip</x:v>
      </x:c>
      <x:c r="E9" s="4" t="n">
        <x:v>27.617999999999995</x:v>
      </x:c>
      <x:c r="F9" s="4" t="n">
        <x:v>-1522.92</x:v>
      </x:c>
      <x:c r="G9" s="4" t="n">
        <x:v>-4522.92</x:v>
      </x:c>
      <x:c r="H9" s="4" t="n">
        <x:v>-39100</x:v>
      </x:c>
      <x:c r="I9" s="4" t="n">
        <x:v>-40860</x:v>
      </x:c>
      <x:c r="J9" s="4" t="n">
        <x:v>18674.159999999996</x:v>
      </x:c>
      <x:c r="K9" s="4" t="n">
        <x:v>1760</x:v>
      </x:c>
    </x:row>
    <x:row r="10" ht="22" customHeight="1">
      <x:c r="A10" s="2"/>
      <x:c r="B10" s="2"/>
      <x:c r="C10" s="2" t="str">
        <x:v>Native early lag 2</x:v>
      </x:c>
      <x:c r="D10" s="4" t="str">
        <x:v>Work return</x:v>
      </x:c>
      <x:c r="E10" s="4" t="n">
        <x:v>40.518</x:v>
      </x:c>
      <x:c r="F10" s="4" t="n">
        <x:v>3862.16</x:v>
      </x:c>
      <x:c r="G10" s="4" t="n">
        <x:v>862.1599999999999</x:v>
      </x:c>
      <x:c r="H10" s="4" t="n">
        <x:v>-33579.28</x:v>
      </x:c>
      <x:c r="I10" s="4" t="n">
        <x:v>-33579.28</x:v>
      </x:c>
      <x:c r="J10" s="4" t="n">
        <x:v>23303.6</x:v>
      </x:c>
      <x:c r="K10" s="4" t="n">
        <x:v>0</x:v>
      </x:c>
    </x:row>
    <x:row r="11" ht="22" customHeight="1">
      <x:c r="A11" s="2"/>
      <x:c r="B11" s="2"/>
      <x:c r="C11" s="2" t="str">
        <x:v>Native early lag 2</x:v>
      </x:c>
      <x:c r="D11" s="4" t="str">
        <x:v>Active trip</x:v>
      </x:c>
      <x:c r="E11" s="4" t="n">
        <x:v>27.617999999999995</x:v>
      </x:c>
      <x:c r="F11" s="4" t="n">
        <x:v>-418.2000000000007</x:v>
      </x:c>
      <x:c r="G11" s="4" t="n">
        <x:v>-3418.2000000000007</x:v>
      </x:c>
      <x:c r="H11" s="4" t="n">
        <x:v>-47355.28</x:v>
      </x:c>
      <x:c r="I11" s="4" t="n">
        <x:v>-49995.28</x:v>
      </x:c>
      <x:c r="J11" s="4" t="n">
        <x:v>31123.59999999999</x:v>
      </x:c>
      <x:c r="K11" s="4" t="n">
        <x:v>2640</x:v>
      </x:c>
    </x:row>
    <x:row r="12" ht="22" customHeight="1">
      <x:c r="A12" s="2"/>
      <x:c r="B12" s="2"/>
      <x:c r="C12" s="2" t="str">
        <x:v>Native early lag 1</x:v>
      </x:c>
      <x:c r="D12" s="4" t="str">
        <x:v>Work return</x:v>
      </x:c>
      <x:c r="E12" s="4" t="n">
        <x:v>40.518</x:v>
      </x:c>
      <x:c r="F12" s="4" t="n">
        <x:v>3862.16</x:v>
      </x:c>
      <x:c r="G12" s="4" t="n">
        <x:v>862.1599999999999</x:v>
      </x:c>
      <x:c r="H12" s="4" t="n">
        <x:v>-24257.839999999997</x:v>
      </x:c>
      <x:c r="I12" s="4" t="n">
        <x:v>-24257.839999999997</x:v>
      </x:c>
      <x:c r="J12" s="4" t="n">
        <x:v>13982.159999999998</x:v>
      </x:c>
      <x:c r="K12" s="4" t="n">
        <x:v>0</x:v>
      </x:c>
    </x:row>
    <x:row r="13" ht="22" customHeight="1">
      <x:c r="A13" s="2"/>
      <x:c r="B13" s="2"/>
      <x:c r="C13" s="2" t="str">
        <x:v>Native early lag 1</x:v>
      </x:c>
      <x:c r="D13" s="4" t="str">
        <x:v>Active trip</x:v>
      </x:c>
      <x:c r="E13" s="4" t="n">
        <x:v>27.617999999999995</x:v>
      </x:c>
      <x:c r="F13" s="4" t="n">
        <x:v>-418.2000000000007</x:v>
      </x:c>
      <x:c r="G13" s="4" t="n">
        <x:v>-3418.2000000000007</x:v>
      </x:c>
      <x:c r="H13" s="4" t="n">
        <x:v>-34905.84</x:v>
      </x:c>
      <x:c r="I13" s="4" t="n">
        <x:v>-37545.84</x:v>
      </x:c>
      <x:c r="J13" s="4" t="n">
        <x:v>18674.16</x:v>
      </x:c>
      <x:c r="K13" s="4" t="n">
        <x:v>2640</x:v>
      </x:c>
    </x:row>
    <x:row r="14" ht="22" customHeight="1">
      <x:c r="A14" s="2"/>
      <x:c r="B14" s="2"/>
      <x:c r="C14" s="2" t="str">
        <x:v>Native base lag 1</x:v>
      </x:c>
      <x:c r="D14" s="4" t="str">
        <x:v>Work return</x:v>
      </x:c>
      <x:c r="E14" s="4" t="n">
        <x:v>40.518</x:v>
      </x:c>
      <x:c r="F14" s="4" t="n">
        <x:v>2241.4400000000005</x:v>
      </x:c>
      <x:c r="G14" s="4" t="n">
        <x:v>-758.5599999999995</x:v>
      </x:c>
      <x:c r="H14" s="4" t="n">
        <x:v>-24459.28</x:v>
      </x:c>
      <x:c r="I14" s="4" t="n">
        <x:v>-24459.28</x:v>
      </x:c>
      <x:c r="J14" s="4" t="n">
        <x:v>9321.439999999999</x:v>
      </x:c>
      <x:c r="K14" s="4" t="n">
        <x:v>0</x:v>
      </x:c>
    </x:row>
    <x:row r="15" ht="22" customHeight="1">
      <x:c r="A15" s="2"/>
      <x:c r="B15" s="2"/>
      <x:c r="C15" s="2" t="str">
        <x:v>Native base lag 1</x:v>
      </x:c>
      <x:c r="D15" s="4" t="str">
        <x:v>Active trip</x:v>
      </x:c>
      <x:c r="E15" s="4" t="n">
        <x:v>27.617999999999995</x:v>
      </x:c>
      <x:c r="F15" s="4" t="n">
        <x:v>-1522.92</x:v>
      </x:c>
      <x:c r="G15" s="4" t="n">
        <x:v>-4522.92</x:v>
      </x:c>
      <x:c r="H15" s="4" t="n">
        <x:v>-32875.28</x:v>
      </x:c>
      <x:c r="I15" s="4" t="n">
        <x:v>-34635.28</x:v>
      </x:c>
      <x:c r="J15" s="4" t="n">
        <x:v>12449.439999999997</x:v>
      </x:c>
      <x:c r="K15" s="4" t="n">
        <x:v>1760</x:v>
      </x:c>
    </x:row>
    <x:row r="16" ht="22" customHeight="1">
      <x:c r="A16" s="2"/>
      <x:c r="B16" s="2"/>
      <x:c r="C16" s="2" t="str">
        <x:v>Zero sales</x:v>
      </x:c>
      <x:c r="D16" s="4" t="str">
        <x:v>Work return</x:v>
      </x:c>
      <x:c r="E16" s="4" t="n">
        <x:v>40.518</x:v>
      </x:c>
      <x:c r="F16" s="4" t="n">
        <x:v>-1000</x:v>
      </x:c>
      <x:c r="G16" s="4" t="n">
        <x:v>-4000</x:v>
      </x:c>
      <x:c r="H16" s="4" t="n">
        <x:v>-20000</x:v>
      </x:c>
      <x:c r="I16" s="4" t="n">
        <x:v>-20000</x:v>
      </x:c>
      <x:c r="J16" s="4" t="n">
        <x:v>0</x:v>
      </x:c>
      <x:c r="K16" s="4" t="n">
        <x:v>0</x:v>
      </x:c>
    </x:row>
    <x:row r="17" ht="22" customHeight="1">
      <x:c r="A17" s="2"/>
      <x:c r="B17" s="2"/>
      <x:c r="C17" s="2" t="str">
        <x:v>Zero sales</x:v>
      </x:c>
      <x:c r="D17" s="4" t="str">
        <x:v>Active trip</x:v>
      </x:c>
      <x:c r="E17" s="4" t="n">
        <x:v>27.617999999999995</x:v>
      </x:c>
      <x:c r="F17" s="4" t="n">
        <x:v>-1500</x:v>
      </x:c>
      <x:c r="G17" s="4" t="n">
        <x:v>-4500</x:v>
      </x:c>
      <x:c r="H17" s="4" t="n">
        <x:v>-25500</x:v>
      </x:c>
      <x:c r="I17" s="4" t="n">
        <x:v>-25500</x:v>
      </x:c>
      <x:c r="J17" s="4" t="n">
        <x:v>0</x:v>
      </x:c>
      <x:c r="K17" s="4" t="n">
        <x:v>0</x:v>
      </x:c>
    </x:row>
    <x:row r="18" ht="22" customHeight="1">
      <x:c r="A18" s="2"/>
      <x:c r="B18" s="2"/>
      <x:c r="C18" s="2" t="str">
        <x:v>Founder draw zero</x:v>
      </x:c>
      <x:c r="D18" s="4" t="str">
        <x:v>Work return</x:v>
      </x:c>
      <x:c r="E18" s="4" t="n">
        <x:v>40.518</x:v>
      </x:c>
      <x:c r="F18" s="4" t="n">
        <x:v>2241.4400000000005</x:v>
      </x:c>
      <x:c r="G18" s="4" t="n">
        <x:v>2241.4400000000005</x:v>
      </x:c>
      <x:c r="H18" s="4" t="n">
        <x:v>-20120</x:v>
      </x:c>
      <x:c r="I18" s="4" t="n">
        <x:v>-20120</x:v>
      </x:c>
      <x:c r="J18" s="4" t="n">
        <x:v>13982.16</x:v>
      </x:c>
      <x:c r="K18" s="4" t="n">
        <x:v>0</x:v>
      </x:c>
    </x:row>
    <x:row r="19" ht="22" customHeight="1">
      <x:c r="A19" s="2"/>
      <x:c r="B19" s="2"/>
      <x:c r="C19" s="2" t="str">
        <x:v>Founder draw zero</x:v>
      </x:c>
      <x:c r="D19" s="4" t="str">
        <x:v>Active trip</x:v>
      </x:c>
      <x:c r="E19" s="4" t="n">
        <x:v>27.617999999999995</x:v>
      </x:c>
      <x:c r="F19" s="4" t="n">
        <x:v>-1522.92</x:v>
      </x:c>
      <x:c r="G19" s="4" t="n">
        <x:v>-1522.92</x:v>
      </x:c>
      <x:c r="H19" s="4" t="n">
        <x:v>-30100</x:v>
      </x:c>
      <x:c r="I19" s="4" t="n">
        <x:v>-31860</x:v>
      </x:c>
      <x:c r="J19" s="4" t="n">
        <x:v>18674.159999999996</x:v>
      </x:c>
      <x:c r="K19" s="4" t="n">
        <x:v>1760</x:v>
      </x:c>
    </x:row>
    <x:row r="20" ht="22" customHeight="1">
      <x:c r="A20" s="2"/>
      <x:c r="B20" s="2"/>
      <x:c r="C20" s="2" t="str">
        <x:v>Apple fee 30%</x:v>
      </x:c>
      <x:c r="D20" s="4" t="str">
        <x:v>Work return</x:v>
      </x:c>
      <x:c r="E20" s="4" t="n">
        <x:v>19.95599999999999</x:v>
      </x:c>
      <x:c r="F20" s="4" t="n">
        <x:v>596.4799999999996</x:v>
      </x:c>
      <x:c r="G20" s="4" t="n">
        <x:v>-2403.5200000000004</x:v>
      </x:c>
      <x:c r="H20" s="4" t="n">
        <x:v>-29120</x:v>
      </x:c>
      <x:c r="I20" s="4" t="n">
        <x:v>-29120</x:v>
      </x:c>
      <x:c r="J20" s="4" t="n">
        <x:v>11514.72</x:v>
      </x:c>
      <x:c r="K20" s="4" t="n">
        <x:v>0</x:v>
      </x:c>
    </x:row>
    <x:row r="21" ht="22" customHeight="1">
      <x:c r="A21" s="2"/>
      <x:c r="B21" s="2"/>
      <x:c r="C21" s="2" t="str">
        <x:v>Apple fee 30%</x:v>
      </x:c>
      <x:c r="D21" s="4" t="str">
        <x:v>Active trip</x:v>
      </x:c>
      <x:c r="E21" s="4" t="n">
        <x:v>0.1560000000000059</x:v>
      </x:c>
      <x:c r="F21" s="4" t="n">
        <x:v>-3170.6399999999994</x:v>
      </x:c>
      <x:c r="G21" s="4" t="n">
        <x:v>-6170.639999999999</x:v>
      </x:c>
      <x:c r="H21" s="4" t="n">
        <x:v>-39100</x:v>
      </x:c>
      <x:c r="I21" s="4" t="n">
        <x:v>-40860</x:v>
      </x:c>
      <x:c r="J21" s="4" t="n">
        <x:v>15378.72</x:v>
      </x:c>
      <x:c r="K21" s="4" t="n">
        <x:v>1760</x:v>
      </x:c>
    </x:row>
    <x:row r="22" ht="22" customHeight="1">
      <x:c r="A22" s="2"/>
      <x:c r="B22" s="2"/>
      <x:c r="C22" s="2" t="str">
        <x:v>Refund 15%</x:v>
      </x:c>
      <x:c r="D22" s="4" t="str">
        <x:v>Work return</x:v>
      </x:c>
      <x:c r="E22" s="4" t="n">
        <x:v>31.652500000000003</x:v>
      </x:c>
      <x:c r="F22" s="4" t="n">
        <x:v>1532.2000000000007</x:v>
      </x:c>
      <x:c r="G22" s="4" t="n">
        <x:v>-1467.7999999999993</x:v>
      </x:c>
      <x:c r="H22" s="4" t="n">
        <x:v>-29120</x:v>
      </x:c>
      <x:c r="I22" s="4" t="n">
        <x:v>-29120</x:v>
      </x:c>
      <x:c r="J22" s="4" t="n">
        <x:v>12918.300000000001</x:v>
      </x:c>
      <x:c r="K22" s="4" t="n">
        <x:v>0</x:v>
      </x:c>
    </x:row>
    <x:row r="23" ht="22" customHeight="1">
      <x:c r="A23" s="2"/>
      <x:c r="B23" s="2"/>
      <x:c r="C23" s="2" t="str">
        <x:v>Refund 15%</x:v>
      </x:c>
      <x:c r="D23" s="4" t="str">
        <x:v>Active trip</x:v>
      </x:c>
      <x:c r="E23" s="4" t="n">
        <x:v>15.777500000000003</x:v>
      </x:c>
      <x:c r="F23" s="4" t="n">
        <x:v>-2233.3500000000004</x:v>
      </x:c>
      <x:c r="G23" s="4" t="n">
        <x:v>-5233.35</x:v>
      </x:c>
      <x:c r="H23" s="4" t="n">
        <x:v>-39100</x:v>
      </x:c>
      <x:c r="I23" s="4" t="n">
        <x:v>-40860</x:v>
      </x:c>
      <x:c r="J23" s="4" t="n">
        <x:v>17253.300000000003</x:v>
      </x:c>
      <x:c r="K23" s="4" t="n">
        <x:v>1760</x:v>
      </x:c>
    </x:row>
    <x:row r="24" ht="22" customHeight="1">
      <x:c r="A24" s="2"/>
      <x:c r="B24" s="2"/>
      <x:c r="C24" s="2" t="str">
        <x:v>CAC plus USD20</x:v>
      </x:c>
      <x:c r="D24" s="4" t="str">
        <x:v>Work return</x:v>
      </x:c>
      <x:c r="E24" s="4" t="n">
        <x:v>20.518</x:v>
      </x:c>
      <x:c r="F24" s="4" t="n">
        <x:v>641.4400000000005</x:v>
      </x:c>
      <x:c r="G24" s="4" t="n">
        <x:v>-2358.5599999999995</x:v>
      </x:c>
      <x:c r="H24" s="4" t="n">
        <x:v>-31520</x:v>
      </x:c>
      <x:c r="I24" s="4" t="n">
        <x:v>-31520</x:v>
      </x:c>
      <x:c r="J24" s="4" t="n">
        <x:v>13982.16</x:v>
      </x:c>
      <x:c r="K24" s="4" t="n">
        <x:v>0</x:v>
      </x:c>
    </x:row>
    <x:row r="25" ht="22" customHeight="1">
      <x:c r="A25" s="2"/>
      <x:c r="B25" s="2"/>
      <x:c r="C25" s="2" t="str">
        <x:v>CAC plus USD20</x:v>
      </x:c>
      <x:c r="D25" s="4" t="str">
        <x:v>Active trip</x:v>
      </x:c>
      <x:c r="E25" s="4" t="n">
        <x:v>7.617999999999995</x:v>
      </x:c>
      <x:c r="F25" s="4" t="n">
        <x:v>-3122.92</x:v>
      </x:c>
      <x:c r="G25" s="4" t="n">
        <x:v>-6122.92</x:v>
      </x:c>
      <x:c r="H25" s="4" t="n">
        <x:v>-41500</x:v>
      </x:c>
      <x:c r="I25" s="4" t="n">
        <x:v>-43260</x:v>
      </x:c>
      <x:c r="J25" s="4" t="n">
        <x:v>18674.159999999996</x:v>
      </x:c>
      <x:c r="K25" s="4" t="n">
        <x:v>1760</x:v>
      </x:c>
    </x:row>
    <x:row r="26" ht="22" customHeight="1">
      <x:c r="A26" s="2"/>
      <x:c r="B26" s="2"/>
      <x:c r="C26" s="2" t="str">
        <x:v>Human minutes plus 50%</x:v>
      </x:c>
      <x:c r="D26" s="4" t="str">
        <x:v>Work return</x:v>
      </x:c>
      <x:c r="E26" s="4" t="n">
        <x:v>21.768</x:v>
      </x:c>
      <x:c r="F26" s="4" t="n">
        <x:v>741.4400000000005</x:v>
      </x:c>
      <x:c r="G26" s="4" t="n">
        <x:v>-2258.5599999999995</x:v>
      </x:c>
      <x:c r="H26" s="4" t="n">
        <x:v>-31370</x:v>
      </x:c>
      <x:c r="I26" s="4" t="n">
        <x:v>-31370</x:v>
      </x:c>
      <x:c r="J26" s="4" t="n">
        <x:v>13982.16</x:v>
      </x:c>
      <x:c r="K26" s="4" t="n">
        <x:v>0</x:v>
      </x:c>
    </x:row>
    <x:row r="27" ht="22" customHeight="1">
      <x:c r="A27" s="2"/>
      <x:c r="B27" s="2"/>
      <x:c r="C27" s="2" t="str">
        <x:v>Human minutes plus 50%</x:v>
      </x:c>
      <x:c r="D27" s="4" t="str">
        <x:v>Active trip</x:v>
      </x:c>
      <x:c r="E27" s="4" t="n">
        <x:v>-9.882000000000005</x:v>
      </x:c>
      <x:c r="F27" s="4" t="n">
        <x:v>-4147.92</x:v>
      </x:c>
      <x:c r="G27" s="4" t="n">
        <x:v>-7147.92</x:v>
      </x:c>
      <x:c r="H27" s="4" t="n">
        <x:v>-42850</x:v>
      </x:c>
      <x:c r="I27" s="4" t="n">
        <x:v>-45360</x:v>
      </x:c>
      <x:c r="J27" s="4" t="n">
        <x:v>18674.159999999996</x:v>
      </x:c>
      <x:c r="K27" s="4" t="n">
        <x:v>2510</x:v>
      </x:c>
    </x:row>
    <x:row r="28" ht="22" customHeight="1">
      <x:c r="A28" s="2"/>
      <x:c r="B28" s="2"/>
      <x:c r="C28" s="2" t="str">
        <x:v>Price minus 25%</x:v>
      </x:c>
      <x:c r="D28" s="4" t="str">
        <x:v>Work return</x:v>
      </x:c>
      <x:c r="E28" s="4" t="n">
        <x:v>11.388499999999993</x:v>
      </x:c>
      <x:c r="F28" s="4" t="n">
        <x:v>-88.92000000000007</x:v>
      </x:c>
      <x:c r="G28" s="4" t="n">
        <x:v>-3088.92</x:v>
      </x:c>
      <x:c r="H28" s="4" t="n">
        <x:v>-29120</x:v>
      </x:c>
      <x:c r="I28" s="4" t="n">
        <x:v>-29120</x:v>
      </x:c>
      <x:c r="J28" s="4" t="n">
        <x:v>10486.619999999999</x:v>
      </x:c>
      <x:c r="K28" s="4" t="n">
        <x:v>0</x:v>
      </x:c>
    </x:row>
    <x:row r="29" ht="22" customHeight="1">
      <x:c r="A29" s="2"/>
      <x:c r="B29" s="2"/>
      <x:c r="C29" s="2" t="str">
        <x:v>Price minus 25%</x:v>
      </x:c>
      <x:c r="D29" s="4" t="str">
        <x:v>Active trip</x:v>
      </x:c>
      <x:c r="E29" s="4" t="n">
        <x:v>-11.28649999999999</x:v>
      </x:c>
      <x:c r="F29" s="4" t="n">
        <x:v>-3857.1899999999996</x:v>
      </x:c>
      <x:c r="G29" s="4" t="n">
        <x:v>-6857.19</x:v>
      </x:c>
      <x:c r="H29" s="4" t="n">
        <x:v>-39100</x:v>
      </x:c>
      <x:c r="I29" s="4" t="n">
        <x:v>-40860</x:v>
      </x:c>
      <x:c r="J29" s="4" t="n">
        <x:v>14005.620000000003</x:v>
      </x:c>
      <x:c r="K29" s="4" t="n">
        <x:v>1760</x:v>
      </x:c>
    </x:row>
    <x:row r="30" ht="22" customHeight="1">
      <x:c r="A30" s="2"/>
      <x:c r="B30" s="2"/>
      <x:c r="C30" s="2" t="str">
        <x:v>Price plus 25%</x:v>
      </x:c>
      <x:c r="D30" s="4" t="str">
        <x:v>Work return</x:v>
      </x:c>
      <x:c r="E30" s="4" t="n">
        <x:v>69.64750000000001</x:v>
      </x:c>
      <x:c r="F30" s="4" t="n">
        <x:v>4571.800000000001</x:v>
      </x:c>
      <x:c r="G30" s="4" t="n">
        <x:v>1571.800000000001</x:v>
      </x:c>
      <x:c r="H30" s="4" t="n">
        <x:v>-29120</x:v>
      </x:c>
      <x:c r="I30" s="4" t="n">
        <x:v>-29120</x:v>
      </x:c>
      <x:c r="J30" s="4" t="n">
        <x:v>17477.7</x:v>
      </x:c>
      <x:c r="K30" s="4" t="n">
        <x:v>0</x:v>
      </x:c>
    </x:row>
    <x:row r="31" ht="22" customHeight="1">
      <x:c r="A31" s="2"/>
      <x:c r="B31" s="2"/>
      <x:c r="C31" s="2" t="str">
        <x:v>Price plus 25%</x:v>
      </x:c>
      <x:c r="D31" s="4" t="str">
        <x:v>Active trip</x:v>
      </x:c>
      <x:c r="E31" s="4" t="n">
        <x:v>66.52249999999998</x:v>
      </x:c>
      <x:c r="F31" s="4" t="n">
        <x:v>811.3499999999985</x:v>
      </x:c>
      <x:c r="G31" s="4" t="n">
        <x:v>-2188.6500000000015</x:v>
      </x:c>
      <x:c r="H31" s="4" t="n">
        <x:v>-39100</x:v>
      </x:c>
      <x:c r="I31" s="4" t="n">
        <x:v>-40860</x:v>
      </x:c>
      <x:c r="J31" s="4" t="n">
        <x:v>23342.699999999997</x:v>
      </x:c>
      <x:c r="K31" s="4" t="n">
        <x:v>1760</x:v>
      </x:c>
    </x:row>
    <x:row r="32" ht="22" customHeight="1">
      <x:c r="A32" s="2"/>
      <x:c r="B32" s="2"/>
      <x:c r="C32" s="2" t="str">
        <x:v>Pilot October ten, early payout</x:v>
      </x:c>
      <x:c r="D32" s="4" t="str">
        <x:v>Work return</x:v>
      </x:c>
      <x:c r="E32" s="4" t="n">
        <x:v>33.509000000000015</x:v>
      </x:c>
      <x:c r="F32" s="4" t="n">
        <x:v>-1000</x:v>
      </x:c>
      <x:c r="G32" s="4" t="n">
        <x:v>-4000</x:v>
      </x:c>
      <x:c r="H32" s="4" t="n">
        <x:v>-19664.91</x:v>
      </x:c>
      <x:c r="I32" s="4" t="n">
        <x:v>-19664.91</x:v>
      </x:c>
      <x:c r="J32" s="4" t="n">
        <x:v>0</x:v>
      </x:c>
      <x:c r="K32" s="4" t="n">
        <x:v>0</x:v>
      </x:c>
    </x:row>
    <x:row r="33" ht="22" customHeight="1">
      <x:c r="A33" s="2"/>
      <x:c r="B33" s="2"/>
      <x:c r="C33" s="2" t="str">
        <x:v>Pilot October ten, early payout</x:v>
      </x:c>
      <x:c r="D33" s="4" t="str">
        <x:v>Active trip</x:v>
      </x:c>
      <x:c r="E33" s="4" t="n">
        <x:v>33.10899999999998</x:v>
      </x:c>
      <x:c r="F33" s="4" t="n">
        <x:v>-1500</x:v>
      </x:c>
      <x:c r="G33" s="4" t="n">
        <x:v>-4500</x:v>
      </x:c>
      <x:c r="H33" s="4" t="n">
        <x:v>-25168.91</x:v>
      </x:c>
      <x:c r="I33" s="4" t="n">
        <x:v>-25168.91</x:v>
      </x:c>
      <x:c r="J33" s="4" t="n">
        <x:v>0</x:v>
      </x:c>
      <x:c r="K33" s="4" t="n">
        <x:v>0</x:v>
      </x:c>
    </x:row>
    <x:row r="34" ht="22" customHeight="1">
      <x:c r="A34" s="2"/>
      <x:c r="B34" s="2"/>
      <x:c r="C34" s="2" t="str">
        <x:v>Pilot Dec25 ten, Jan8 payout</x:v>
      </x:c>
      <x:c r="D34" s="4" t="str">
        <x:v>Work return</x:v>
      </x:c>
      <x:c r="E34" s="4" t="n">
        <x:v>33.509000000000015</x:v>
      </x:c>
      <x:c r="F34" s="4" t="n">
        <x:v>-664.9099999999999</x:v>
      </x:c>
      <x:c r="G34" s="4" t="n">
        <x:v>-3664.91</x:v>
      </x:c>
      <x:c r="H34" s="4" t="n">
        <x:v>-21435</x:v>
      </x:c>
      <x:c r="I34" s="4" t="n">
        <x:v>-21435</x:v>
      </x:c>
      <x:c r="J34" s="4" t="n">
        <x:v>1770.0900000000001</x:v>
      </x:c>
      <x:c r="K34" s="4" t="n">
        <x:v>0</x:v>
      </x:c>
    </x:row>
    <x:row r="35" ht="22" customHeight="1">
      <x:c r="A35" s="2"/>
      <x:c r="B35" s="2"/>
      <x:c r="C35" s="2" t="str">
        <x:v>Pilot Dec25 ten, Jan8 payout</x:v>
      </x:c>
      <x:c r="D35" s="4" t="str">
        <x:v>Active trip</x:v>
      </x:c>
      <x:c r="E35" s="4" t="n">
        <x:v>33.10899999999998</x:v>
      </x:c>
      <x:c r="F35" s="4" t="n">
        <x:v>-2029.4550000000002</x:v>
      </x:c>
      <x:c r="G35" s="4" t="n">
        <x:v>-5029.455</x:v>
      </x:c>
      <x:c r="H35" s="4" t="n">
        <x:v>-27360</x:v>
      </x:c>
      <x:c r="I35" s="4" t="n">
        <x:v>-27830</x:v>
      </x:c>
      <x:c r="J35" s="4" t="n">
        <x:v>2661.0899999999997</x:v>
      </x:c>
      <x:c r="K35" s="4" t="n">
        <x:v>470</x:v>
      </x:c>
    </x:row>
    <x:row r="36" ht="22" customHeight="1">
      <x:c r="A36" s="2"/>
      <x:c r="B36" s="2"/>
      <x:c r="C36" s="2"/>
      <x:c r="D36" s="4"/>
      <x:c r="E36" s="4"/>
      <x:c r="F36" s="4"/>
      <x:c r="G36" s="4"/>
      <x:c r="H36" s="4"/>
      <x:c r="I36" s="4"/>
      <x:c r="J36" s="4"/>
      <x:c r="K36" s="4"/>
    </x:row>
    <x:row r="37" ht="22" customHeight="1">
      <x:c r="A37" s="2"/>
      <x:c r="B37" s="2"/>
      <x:c r="C37" s="2"/>
      <x:c r="D37" s="4"/>
      <x:c r="E37" s="4"/>
      <x:c r="F37" s="4"/>
      <x:c r="G37" s="4"/>
      <x:c r="H37" s="4"/>
      <x:c r="I37" s="4"/>
      <x:c r="J37" s="4"/>
      <x:c r="K37" s="4"/>
    </x:row>
    <x:row r="38" ht="27" customHeight="1">
      <x:c r="A38" s="2"/>
      <x:c r="B38" s="2"/>
      <x:c r="C38" s="9" t="str">
        <x:v>Annual thought experiment</x:v>
      </x:c>
      <x:c r="D38" s="10" t="str">
        <x:v>USD99 old</x:v>
      </x:c>
      <x:c r="E38" s="10" t="str">
        <x:v>USD249 revised</x:v>
      </x:c>
      <x:c r="F38" s="4"/>
      <x:c r="G38" s="4"/>
      <x:c r="H38" s="4"/>
      <x:c r="I38" s="4"/>
      <x:c r="J38" s="4"/>
      <x:c r="K38" s="4"/>
    </x:row>
    <x:row r="39" ht="22" customHeight="1">
      <x:c r="A39" s="2"/>
      <x:c r="B39" s="2"/>
      <x:c r="C39" s="2" t="str">
        <x:v>Annual price</x:v>
      </x:c>
      <x:c r="D39" s="11" t="n">
        <x:v>99</x:v>
      </x:c>
      <x:c r="E39" s="11" t="n">
        <x:v>249</x:v>
      </x:c>
      <x:c r="F39" s="4"/>
      <x:c r="G39" s="4"/>
      <x:c r="H39" s="4"/>
      <x:c r="I39" s="4"/>
      <x:c r="J39" s="4"/>
      <x:c r="K39" s="4"/>
    </x:row>
    <x:row r="40" ht="22" customHeight="1">
      <x:c r="A40" s="2"/>
      <x:c r="B40" s="2"/>
      <x:c r="C40" s="2" t="str">
        <x:v>Refund fraction</x:v>
      </x:c>
      <x:c r="D40" s="29" t="n">
        <x:v>0.05</x:v>
      </x:c>
      <x:c r="E40" s="29" t="n">
        <x:v>0.08</x:v>
      </x:c>
      <x:c r="F40" s="4"/>
      <x:c r="G40" s="4"/>
      <x:c r="H40" s="4"/>
      <x:c r="I40" s="4"/>
      <x:c r="J40" s="4"/>
      <x:c r="K40" s="4"/>
    </x:row>
    <x:row r="41" ht="22" customHeight="1">
      <x:c r="A41" s="2"/>
      <x:c r="B41" s="2"/>
      <x:c r="C41" s="2" t="str">
        <x:v>Platform fraction</x:v>
      </x:c>
      <x:c r="D41" s="29" t="n">
        <x:v>0.15</x:v>
      </x:c>
      <x:c r="E41" s="29" t="n">
        <x:v>0.15</x:v>
      </x:c>
      <x:c r="F41" s="4"/>
      <x:c r="G41" s="4"/>
      <x:c r="H41" s="4"/>
      <x:c r="I41" s="4"/>
      <x:c r="J41" s="4"/>
      <x:c r="K41" s="4"/>
    </x:row>
    <x:row r="42" ht="22" customHeight="1">
      <x:c r="A42" s="2"/>
      <x:c r="B42" s="2"/>
      <x:c r="C42" s="2" t="str">
        <x:v>Full future variable service reserve</x:v>
      </x:c>
      <x:c r="D42" s="11" t="n">
        <x:v>12</x:v>
      </x:c>
      <x:c r="E42" s="11" t="n">
        <x:v>96</x:v>
      </x:c>
      <x:c r="F42" s="4"/>
      <x:c r="G42" s="4"/>
      <x:c r="H42" s="4"/>
      <x:c r="I42" s="4"/>
      <x:c r="J42" s="4"/>
      <x:c r="K42" s="4"/>
    </x:row>
    <x:row r="43" ht="22" customHeight="1">
      <x:c r="A43" s="2"/>
      <x:c r="B43" s="2"/>
      <x:c r="C43" s="2" t="str">
        <x:v>Acquisition per buyer</x:v>
      </x:c>
      <x:c r="D43" s="11" t="n">
        <x:v>20</x:v>
      </x:c>
      <x:c r="E43" s="11" t="n">
        <x:v>40</x:v>
      </x:c>
      <x:c r="F43" s="4"/>
      <x:c r="G43" s="4"/>
      <x:c r="H43" s="4"/>
      <x:c r="I43" s="4"/>
      <x:c r="J43" s="4"/>
      <x:c r="K43" s="4"/>
    </x:row>
    <x:row r="44" ht="22" customHeight="1">
      <x:c r="A44" s="2"/>
      <x:c r="B44" s="2"/>
      <x:c r="C44" s="2" t="str">
        <x:v>Residual before fixed obligations</x:v>
      </x:c>
      <x:c r="D44" s="4" t="n">
        <x:f>D39*(1-D40)*(1-D41)-D42-D43</x:f>
        <x:v>47.942499999999995</x:v>
      </x:c>
      <x:c r="E44" s="4" t="n">
        <x:f>E39*(1-E40)*(1-E41)-E42-E43</x:f>
        <x:v>58.71800000000002</x:v>
      </x:c>
      <x:c r="F44" s="4"/>
      <x:c r="G44" s="4"/>
      <x:c r="H44" s="4"/>
      <x:c r="I44" s="4"/>
      <x:c r="J44" s="4"/>
      <x:c r="K44" s="4"/>
    </x:row>
    <x:row r="45" ht="22" customHeight="1">
      <x:c r="A45" s="2"/>
      <x:c r="B45" s="2"/>
      <x:c r="C45" s="2" t="str">
        <x:v>Sales for USD8000 before omitted obligations</x:v>
      </x:c>
      <x:c r="D45" s="4" t="n">
        <x:f>IF(D44&lt;=0,"n.a.",ROUNDUP(8000/D44,0))</x:f>
        <x:v>167</x:v>
      </x:c>
      <x:c r="E45" s="4" t="n">
        <x:f>IF(E44&lt;=0,"n.a.",ROUNDUP(8000/E44,0))</x:f>
        <x:v>137</x:v>
      </x:c>
      <x:c r="F45" s="4"/>
      <x:c r="G45" s="4"/>
      <x:c r="H45" s="4"/>
      <x:c r="I45" s="4"/>
      <x:c r="J45" s="4"/>
      <x:c r="K45" s="4"/>
    </x:row>
    <x:row r="46" ht="22" customHeight="1">
      <x:c r="A46" s="2"/>
      <x:c r="B46" s="2"/>
      <x:c r="C46" s="2" t="str">
        <x:v>Sales for USD28500 before omitted obligations</x:v>
      </x:c>
      <x:c r="D46" s="4" t="n">
        <x:f>IF(D44&lt;=0,"n.a.",ROUNDUP(28500/D44,0))</x:f>
        <x:v>595</x:v>
      </x:c>
      <x:c r="E46" s="4" t="n">
        <x:f>IF(E44&lt;=0,"n.a.",ROUNDUP(28500/E44,0))</x:f>
        <x:v>486</x:v>
      </x:c>
      <x:c r="F46" s="4"/>
      <x:c r="G46" s="4"/>
      <x:c r="H46" s="4"/>
      <x:c r="I46" s="4"/>
      <x:c r="J46" s="4"/>
      <x:c r="K46" s="4"/>
    </x:row>
    <x:row r="47" ht="22" customHeight="1">
      <x:c r="A47" s="2"/>
      <x:c r="B47" s="2"/>
      <x:c r="C47" s="2"/>
      <x:c r="D47" s="4"/>
      <x:c r="E47" s="4"/>
      <x:c r="F47" s="4"/>
      <x:c r="G47" s="4"/>
      <x:c r="H47" s="4"/>
      <x:c r="I47" s="4"/>
      <x:c r="J47" s="4"/>
      <x:c r="K47" s="4"/>
    </x:row>
    <x:row r="48" ht="22" customHeight="1">
      <x:c r="A48" s="2"/>
      <x:c r="B48" s="2"/>
      <x:c r="C48" s="6" t="str">
        <x:v>Annual scenarios are not sales forecasts. Future fixed costs are unspecified and must also be funded.</x:v>
      </x:c>
      <x:c r="D48" s="4"/>
      <x:c r="E48" s="4"/>
      <x:c r="F48" s="4"/>
      <x:c r="G48" s="4"/>
      <x:c r="H48" s="4"/>
      <x:c r="I48" s="4"/>
      <x:c r="J48" s="4"/>
      <x:c r="K48" s="4"/>
    </x:row>
    <x:row r="49" ht="22" customHeight="1">
      <x:c r="A49" s="2"/>
      <x:c r="B49" s="2"/>
      <x:c r="C49" s="6" t="str">
        <x:v>USD12/year variable reserve is the old optimistic assumption, not supported delivery economics.</x:v>
      </x:c>
      <x:c r="D49" s="4"/>
      <x:c r="E49" s="4"/>
      <x:c r="F49" s="4"/>
      <x:c r="G49" s="4"/>
      <x:c r="H49" s="4"/>
      <x:c r="I49" s="4"/>
      <x:c r="J49" s="4"/>
      <x:c r="K49" s="4"/>
    </x:row>
    <x:row r="50" ht="22" customHeight="1">
      <x:c r="A50" s="2"/>
      <x:c r="B50" s="2"/>
      <x:c r="C50" s="2"/>
      <x:c r="D50" s="4"/>
      <x:c r="E50" s="4"/>
      <x:c r="F50" s="4"/>
      <x:c r="G50" s="4"/>
      <x:c r="H50" s="4"/>
      <x:c r="I50" s="4"/>
      <x:c r="J50" s="4"/>
      <x:c r="K50" s="4"/>
    </x:row>
    <x:row r="51" ht="22" customHeight="1">
      <x:c r="A51" s="2"/>
      <x:c r="B51" s="2"/>
      <x:c r="C51" s="2"/>
      <x:c r="D51" s="4"/>
      <x:c r="E51" s="4"/>
      <x:c r="F51" s="4"/>
      <x:c r="G51" s="4"/>
      <x:c r="H51" s="4"/>
      <x:c r="I51" s="4"/>
      <x:c r="J51" s="4"/>
      <x:c r="K51" s="4"/>
    </x:row>
    <x:row r="52" ht="27" customHeight="1">
      <x:c r="A52" s="2"/>
      <x:c r="B52" s="2"/>
      <x:c r="C52" s="9" t="str">
        <x:v>Possible one repeat</x:v>
      </x:c>
      <x:c r="D52" s="10" t="str">
        <x:v>Work return C2</x:v>
      </x:c>
      <x:c r="E52" s="10" t="str">
        <x:v>Active trip C3</x:v>
      </x:c>
      <x:c r="F52" s="4"/>
      <x:c r="G52" s="4"/>
      <x:c r="H52" s="4"/>
      <x:c r="I52" s="4"/>
      <x:c r="J52" s="4"/>
      <x:c r="K52" s="4"/>
    </x:row>
    <x:row r="53" ht="22" customHeight="1">
      <x:c r="A53" s="2"/>
      <x:c r="B53" s="2"/>
      <x:c r="C53" s="20" t="n">
        <x:v>0</x:v>
      </x:c>
      <x:c r="D53" s="19" t="n">
        <x:f>'Unit economics'!D22*(1+C53)</x:f>
        <x:v>40.518</x:v>
      </x:c>
      <x:c r="E53" s="19" t="n">
        <x:f>'Unit economics'!E22*(1+C53)</x:f>
        <x:v>27.617999999999995</x:v>
      </x:c>
      <x:c r="F53" s="4"/>
      <x:c r="G53" s="4"/>
      <x:c r="H53" s="4"/>
      <x:c r="I53" s="4"/>
      <x:c r="J53" s="4"/>
      <x:c r="K53" s="4"/>
    </x:row>
    <x:row r="54" ht="22" customHeight="1">
      <x:c r="A54" s="2"/>
      <x:c r="B54" s="2"/>
      <x:c r="C54" s="20" t="n">
        <x:v>0.2</x:v>
      </x:c>
      <x:c r="D54" s="19" t="n">
        <x:f>'Unit economics'!D22*(1+C54)</x:f>
        <x:v>48.6216</x:v>
      </x:c>
      <x:c r="E54" s="19" t="n">
        <x:f>'Unit economics'!E22*(1+C54)</x:f>
        <x:v>33.14159999999999</x:v>
      </x:c>
      <x:c r="F54" s="4"/>
      <x:c r="G54" s="4"/>
      <x:c r="H54" s="4"/>
      <x:c r="I54" s="4"/>
      <x:c r="J54" s="4"/>
      <x:c r="K54" s="4"/>
    </x:row>
    <x:row r="55" ht="22" customHeight="1">
      <x:c r="A55" s="2"/>
      <x:c r="B55" s="2"/>
      <x:c r="C55" s="20" t="n">
        <x:v>0.4</x:v>
      </x:c>
      <x:c r="D55" s="19" t="n">
        <x:f>'Unit economics'!D22*(1+C55)</x:f>
        <x:v>56.725199999999994</x:v>
      </x:c>
      <x:c r="E55" s="19" t="n">
        <x:f>'Unit economics'!E22*(1+C55)</x:f>
        <x:v>38.66519999999999</x:v>
      </x:c>
      <x:c r="F55" s="4"/>
      <x:c r="G55" s="4"/>
      <x:c r="H55" s="4"/>
      <x:c r="I55" s="4"/>
      <x:c r="J55" s="4"/>
      <x:c r="K55" s="4"/>
    </x:row>
    <x:row r="56" ht="22" customHeight="1">
      <x:c r="A56" s="2"/>
      <x:c r="B56" s="2"/>
      <x:c r="C56" s="2"/>
      <x:c r="D56" s="4"/>
      <x:c r="E56" s="4"/>
      <x:c r="F56" s="4"/>
      <x:c r="G56" s="4"/>
      <x:c r="H56" s="4"/>
      <x:c r="I56" s="4"/>
      <x:c r="J56" s="4"/>
      <x:c r="K56" s="4"/>
    </x:row>
    <x:row r="57" ht="22" customHeight="1">
      <x:c r="A57" s="2"/>
      <x:c r="B57" s="2"/>
      <x:c r="C57" s="6" t="str">
        <x:v>Speculative expected contribution per first customer. Same CAC on repeat. Not LTV or a cash forecast.</x:v>
      </x:c>
      <x:c r="D57" s="4"/>
      <x:c r="E57" s="4"/>
      <x:c r="F57" s="4"/>
      <x:c r="G57" s="4"/>
      <x:c r="H57" s="4"/>
      <x:c r="I57" s="4"/>
      <x:c r="J57" s="4"/>
      <x:c r="K57" s="4"/>
    </x:row>
    <x:row r="58" ht="22" customHeight="1">
      <x:c r="A58" s="2"/>
      <x:c r="B58" s="2"/>
      <x:c r="C58" s="2"/>
      <x:c r="D58" s="4"/>
      <x:c r="E58" s="4"/>
      <x:c r="F58" s="4"/>
      <x:c r="G58" s="4"/>
      <x:c r="H58" s="4"/>
      <x:c r="I58" s="4"/>
      <x:c r="J58" s="4"/>
      <x:c r="K58" s="4"/>
    </x:row>
    <x:row r="59" ht="22" customHeight="1">
      <x:c r="A59" s="2"/>
      <x:c r="B59" s="2"/>
      <x:c r="C59" s="2"/>
      <x:c r="D59" s="4"/>
      <x:c r="E59" s="4"/>
      <x:c r="F59" s="4"/>
      <x:c r="G59" s="4"/>
      <x:c r="H59" s="4"/>
      <x:c r="I59" s="4"/>
      <x:c r="J59" s="4"/>
      <x:c r="K59" s="4"/>
    </x:row>
    <x:row r="60" ht="22" customHeight="1">
      <x:c r="A60" s="2"/>
      <x:c r="B60" s="2"/>
      <x:c r="C60" s="2"/>
      <x:c r="D60" s="4"/>
      <x:c r="E60" s="4"/>
      <x:c r="F60" s="4"/>
      <x:c r="G60" s="4"/>
      <x:c r="H60" s="4"/>
      <x:c r="I60" s="4"/>
      <x:c r="J60" s="4"/>
      <x:c r="K60" s="4"/>
    </x:row>
    <x:row r="61" ht="22" customHeight="1">
      <x:c r="A61" s="2"/>
      <x:c r="B61" s="2"/>
      <x:c r="C61" s="2"/>
      <x:c r="D61" s="4"/>
      <x:c r="E61" s="4"/>
      <x:c r="F61" s="4"/>
      <x:c r="G61" s="4"/>
      <x:c r="H61" s="4"/>
      <x:c r="I61" s="4"/>
      <x:c r="J61" s="4"/>
      <x:c r="K61" s="4"/>
    </x:row>
    <x:row r="62" ht="22" customHeight="1">
      <x:c r="A62" s="2"/>
      <x:c r="B62" s="2"/>
      <x:c r="C62" s="2"/>
      <x:c r="D62" s="4"/>
      <x:c r="E62" s="4"/>
      <x:c r="F62" s="4"/>
      <x:c r="G62" s="4"/>
      <x:c r="H62" s="4"/>
      <x:c r="I62" s="4"/>
      <x:c r="J62" s="4"/>
      <x:c r="K62" s="4"/>
    </x:row>
    <x:row r="63" ht="22" customHeight="1">
      <x:c r="A63" s="2"/>
      <x:c r="B63" s="2"/>
      <x:c r="C63" s="2"/>
      <x:c r="D63" s="4"/>
      <x:c r="E63" s="4"/>
      <x:c r="F63" s="4"/>
      <x:c r="G63" s="4"/>
      <x:c r="H63" s="4"/>
      <x:c r="I63" s="4"/>
      <x:c r="J63" s="4"/>
      <x:c r="K63" s="4"/>
    </x:row>
    <x:row r="64" ht="22" customHeight="1">
      <x:c r="A64" s="2"/>
      <x:c r="B64" s="2"/>
      <x:c r="C64" s="2"/>
      <x:c r="D64" s="4"/>
      <x:c r="E64" s="4"/>
      <x:c r="F64" s="4"/>
      <x:c r="G64" s="4"/>
      <x:c r="H64" s="4"/>
      <x:c r="I64" s="4"/>
      <x:c r="J64" s="4"/>
      <x:c r="K64" s="4"/>
    </x:row>
    <x:row r="65" ht="22" customHeight="1">
      <x:c r="A65" s="2"/>
      <x:c r="B65" s="2"/>
      <x:c r="C65" s="2"/>
      <x:c r="D65" s="4"/>
      <x:c r="E65" s="4"/>
      <x:c r="F65" s="4"/>
      <x:c r="G65" s="4"/>
      <x:c r="H65" s="4"/>
      <x:c r="I65" s="4"/>
      <x:c r="J65" s="4"/>
      <x:c r="K65" s="4"/>
    </x:row>
    <x:row r="66" ht="22" customHeight="1">
      <x:c r="A66" s="2"/>
      <x:c r="B66" s="2"/>
      <x:c r="C66" s="2"/>
      <x:c r="D66" s="4"/>
      <x:c r="E66" s="4"/>
      <x:c r="F66" s="4"/>
      <x:c r="G66" s="4"/>
      <x:c r="H66" s="4"/>
      <x:c r="I66" s="4"/>
      <x:c r="J66" s="4"/>
      <x:c r="K66" s="4"/>
    </x:row>
    <x:row r="67" ht="22" customHeight="1">
      <x:c r="A67" s="2"/>
      <x:c r="B67" s="2"/>
      <x:c r="C67" s="2"/>
      <x:c r="D67" s="4"/>
      <x:c r="E67" s="4"/>
      <x:c r="F67" s="4"/>
      <x:c r="G67" s="4"/>
      <x:c r="H67" s="4"/>
      <x:c r="I67" s="4"/>
      <x:c r="J67" s="4"/>
      <x:c r="K67" s="4"/>
    </x:row>
    <x:row r="68" ht="22" customHeight="1">
      <x:c r="A68" s="2"/>
      <x:c r="B68" s="2"/>
      <x:c r="C68" s="2"/>
      <x:c r="D68" s="4"/>
      <x:c r="E68" s="4"/>
      <x:c r="F68" s="4"/>
      <x:c r="G68" s="4"/>
      <x:c r="H68" s="4"/>
      <x:c r="I68" s="4"/>
      <x:c r="J68" s="4"/>
      <x:c r="K68" s="4"/>
    </x:row>
    <x:row r="69" ht="22" customHeight="1">
      <x:c r="A69" s="2"/>
      <x:c r="B69" s="2"/>
      <x:c r="C69" s="2"/>
      <x:c r="D69" s="4"/>
      <x:c r="E69" s="4"/>
      <x:c r="F69" s="4"/>
      <x:c r="G69" s="4"/>
      <x:c r="H69" s="4"/>
      <x:c r="I69" s="4"/>
      <x:c r="J69" s="4"/>
      <x:c r="K69" s="4"/>
    </x:row>
    <x:row r="70" ht="22" customHeight="1">
      <x:c r="A70" s="2"/>
      <x:c r="B70" s="2"/>
      <x:c r="C70" s="2"/>
      <x:c r="D70" s="4"/>
      <x:c r="E70" s="4"/>
      <x:c r="F70" s="4"/>
      <x:c r="G70" s="4"/>
      <x:c r="H70" s="4"/>
      <x:c r="I70" s="4"/>
      <x:c r="J70" s="4"/>
      <x:c r="K70" s="4"/>
    </x:row>
    <x:row r="71" ht="22" customHeight="1">
      <x:c r="A71" s="2"/>
      <x:c r="B71" s="2"/>
      <x:c r="C71" s="2"/>
      <x:c r="D71" s="4"/>
      <x:c r="E71" s="4"/>
      <x:c r="F71" s="4"/>
      <x:c r="G71" s="4"/>
      <x:c r="H71" s="4"/>
      <x:c r="I71" s="4"/>
      <x:c r="J71" s="4"/>
      <x:c r="K71" s="4"/>
    </x:row>
    <x:row r="72" ht="22" customHeight="1">
      <x:c r="A72" s="2"/>
      <x:c r="B72" s="2"/>
      <x:c r="C72" s="2"/>
      <x:c r="D72" s="4"/>
      <x:c r="E72" s="4"/>
      <x:c r="F72" s="4"/>
      <x:c r="G72" s="4"/>
      <x:c r="H72" s="4"/>
      <x:c r="I72" s="4"/>
      <x:c r="J72" s="4"/>
      <x:c r="K72" s="4"/>
    </x:row>
    <x:row r="73" ht="22" customHeight="1">
      <x:c r="A73" s="2"/>
      <x:c r="B73" s="2"/>
      <x:c r="C73" s="2"/>
      <x:c r="D73" s="4"/>
      <x:c r="E73" s="4"/>
      <x:c r="F73" s="4"/>
      <x:c r="G73" s="4"/>
      <x:c r="H73" s="4"/>
      <x:c r="I73" s="4"/>
      <x:c r="J73" s="4"/>
      <x:c r="K73" s="4"/>
    </x:row>
    <x:row r="74" ht="22" customHeight="1">
      <x:c r="A74" s="2"/>
      <x:c r="B74" s="2"/>
      <x:c r="C74" s="2"/>
      <x:c r="D74" s="4"/>
      <x:c r="E74" s="4"/>
      <x:c r="F74" s="4"/>
      <x:c r="G74" s="4"/>
      <x:c r="H74" s="4"/>
      <x:c r="I74" s="4"/>
      <x:c r="J74" s="4"/>
      <x:c r="K74" s="4"/>
    </x:row>
    <x:row r="75" ht="22" customHeight="1">
      <x:c r="A75" s="2"/>
      <x:c r="B75" s="2"/>
      <x:c r="C75" s="2"/>
      <x:c r="D75" s="4"/>
      <x:c r="E75" s="4"/>
      <x:c r="F75" s="4"/>
      <x:c r="G75" s="4"/>
      <x:c r="H75" s="4"/>
      <x:c r="I75" s="4"/>
      <x:c r="J75" s="4"/>
      <x:c r="K75" s="4"/>
    </x:row>
    <x:row r="76" ht="22" customHeight="1">
      <x:c r="A76" s="2"/>
      <x:c r="B76" s="2"/>
      <x:c r="C76" s="2"/>
      <x:c r="D76" s="4"/>
      <x:c r="E76" s="4"/>
      <x:c r="F76" s="4"/>
      <x:c r="G76" s="4"/>
      <x:c r="H76" s="4"/>
      <x:c r="I76" s="4"/>
      <x:c r="J76" s="4"/>
      <x:c r="K76" s="4"/>
    </x:row>
    <x:row r="77" ht="22" customHeight="1">
      <x:c r="A77" s="2"/>
      <x:c r="B77" s="2"/>
      <x:c r="C77" s="2"/>
      <x:c r="D77" s="4"/>
      <x:c r="E77" s="4"/>
      <x:c r="F77" s="4"/>
      <x:c r="G77" s="4"/>
      <x:c r="H77" s="4"/>
      <x:c r="I77" s="4"/>
      <x:c r="J77" s="4"/>
      <x:c r="K77" s="4"/>
    </x:row>
    <x:row r="78" ht="22" customHeight="1">
      <x:c r="A78" s="2"/>
      <x:c r="B78" s="2"/>
      <x:c r="C78" s="2"/>
      <x:c r="D78" s="4"/>
      <x:c r="E78" s="4"/>
      <x:c r="F78" s="4"/>
      <x:c r="G78" s="4"/>
      <x:c r="H78" s="4"/>
      <x:c r="I78" s="4"/>
      <x:c r="J78" s="4"/>
      <x:c r="K78" s="4"/>
    </x:row>
    <x:row r="79" ht="22" customHeight="1">
      <x:c r="A79" s="2"/>
      <x:c r="B79" s="2"/>
      <x:c r="C79" s="2"/>
      <x:c r="D79" s="4"/>
      <x:c r="E79" s="4"/>
      <x:c r="F79" s="4"/>
      <x:c r="G79" s="4"/>
      <x:c r="H79" s="4"/>
      <x:c r="I79" s="4"/>
      <x:c r="J79" s="4"/>
      <x:c r="K79" s="4"/>
    </x:row>
    <x:row r="80" ht="22" customHeight="1">
      <x:c r="A80" s="2"/>
      <x:c r="B80" s="2"/>
      <x:c r="C80" s="2"/>
      <x:c r="D80" s="4"/>
      <x:c r="E80" s="4"/>
      <x:c r="F80" s="4"/>
      <x:c r="G80" s="4"/>
      <x:c r="H80" s="4"/>
      <x:c r="I80" s="4"/>
      <x:c r="J80" s="4"/>
      <x:c r="K80" s="4"/>
    </x:row>
  </x:sheetData>
  <x:pageMargins left="0.7" right="0.7" top="0.75" bottom="0.75" header="0.3" footer="0.3"/>
</x:worksheet>
</file>